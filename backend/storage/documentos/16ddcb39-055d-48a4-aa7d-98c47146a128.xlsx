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M:\Engenharia &amp; Infraestrutura\Manutenção\07 - SGI\Formulários\"/>
    </mc:Choice>
  </mc:AlternateContent>
  <xr:revisionPtr revIDLastSave="0" documentId="13_ncr:1_{316845ED-B2BC-4E7F-A819-6A3CC2822F64}" xr6:coauthVersionLast="45" xr6:coauthVersionMax="45" xr10:uidLastSave="{00000000-0000-0000-0000-000000000000}"/>
  <bookViews>
    <workbookView xWindow="2880" yWindow="4200" windowWidth="21600" windowHeight="11385" xr2:uid="{00000000-000D-0000-FFFF-FFFF00000000}"/>
  </bookViews>
  <sheets>
    <sheet name="1ª Medição" sheetId="1" r:id="rId1"/>
  </sheets>
  <definedNames>
    <definedName name="_xlnm.Print_Area" localSheetId="0">'1ª Medição'!$A$1:$T$42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3" i="1" l="1"/>
  <c r="Q21" i="1" l="1"/>
  <c r="P21" i="1"/>
  <c r="P20" i="1" s="1"/>
  <c r="K21" i="1"/>
  <c r="M21" i="1" s="1"/>
  <c r="N21" i="1" s="1"/>
  <c r="Q18" i="1"/>
  <c r="P18" i="1"/>
  <c r="P17" i="1" s="1"/>
  <c r="K18" i="1"/>
  <c r="P15" i="1"/>
  <c r="Q15" i="1"/>
  <c r="O15" i="1"/>
  <c r="Q14" i="1"/>
  <c r="P14" i="1"/>
  <c r="K14" i="1"/>
  <c r="J14" i="1"/>
  <c r="Q13" i="1"/>
  <c r="P13" i="1"/>
  <c r="O13" i="1"/>
  <c r="K13" i="1"/>
  <c r="M13" i="1" s="1"/>
  <c r="N13" i="1" s="1"/>
  <c r="J13" i="1"/>
  <c r="R13" i="1" l="1"/>
  <c r="S13" i="1" s="1"/>
  <c r="P12" i="1"/>
  <c r="P10" i="1" s="1"/>
  <c r="P28" i="1" s="1"/>
  <c r="Q28" i="1"/>
  <c r="P35" i="1" s="1"/>
  <c r="L18" i="1"/>
  <c r="H18" i="1"/>
  <c r="R14" i="1"/>
  <c r="R18" i="1"/>
  <c r="R17" i="1" s="1"/>
  <c r="O14" i="1"/>
  <c r="O12" i="1" s="1"/>
  <c r="H14" i="1"/>
  <c r="H15" i="1"/>
  <c r="J18" i="1"/>
  <c r="R15" i="1"/>
  <c r="S15" i="1" s="1"/>
  <c r="L21" i="1"/>
  <c r="R21" i="1"/>
  <c r="R20" i="1" s="1"/>
  <c r="M14" i="1"/>
  <c r="N14" i="1" s="1"/>
  <c r="J15" i="1"/>
  <c r="M18" i="1"/>
  <c r="N18" i="1" s="1"/>
  <c r="H21" i="1"/>
  <c r="L13" i="1"/>
  <c r="L14" i="1"/>
  <c r="K15" i="1"/>
  <c r="O18" i="1"/>
  <c r="O17" i="1" s="1"/>
  <c r="J21" i="1"/>
  <c r="O21" i="1"/>
  <c r="O20" i="1" s="1"/>
  <c r="O10" i="1" l="1"/>
  <c r="O28" i="1" s="1"/>
  <c r="R12" i="1"/>
  <c r="R10" i="1" s="1"/>
  <c r="R28" i="1" s="1"/>
  <c r="S14" i="1"/>
  <c r="S12" i="1" s="1"/>
  <c r="S21" i="1"/>
  <c r="S20" i="1" s="1"/>
  <c r="S18" i="1"/>
  <c r="S17" i="1" s="1"/>
  <c r="M15" i="1"/>
  <c r="N15" i="1" s="1"/>
  <c r="L15" i="1"/>
  <c r="S10" i="1" l="1"/>
  <c r="S28" i="1" s="1"/>
</calcChain>
</file>

<file path=xl/sharedStrings.xml><?xml version="1.0" encoding="utf-8"?>
<sst xmlns="http://schemas.openxmlformats.org/spreadsheetml/2006/main" count="43" uniqueCount="31">
  <si>
    <t>PREÇO</t>
  </si>
  <si>
    <t>QUANTIDADES</t>
  </si>
  <si>
    <t>VALORES</t>
  </si>
  <si>
    <t>Código</t>
  </si>
  <si>
    <t>Descrição dos Serviços</t>
  </si>
  <si>
    <t>Un.</t>
  </si>
  <si>
    <t>Preço Unitário</t>
  </si>
  <si>
    <t>Previsto</t>
  </si>
  <si>
    <t>Acum. Ant.</t>
  </si>
  <si>
    <t>%</t>
  </si>
  <si>
    <t>Período</t>
  </si>
  <si>
    <t>Acum. Atual</t>
  </si>
  <si>
    <t>Saldo</t>
  </si>
  <si>
    <t>TOTAL - CONTRATUAL:</t>
  </si>
  <si>
    <t>RETENÇÃO CONTRATUAL :</t>
  </si>
  <si>
    <t>ISS</t>
  </si>
  <si>
    <t>INSS</t>
  </si>
  <si>
    <t>PIS / COFINS / CSLL</t>
  </si>
  <si>
    <t>IR</t>
  </si>
  <si>
    <t>TOTAL LÍQUIDO DA MEDIÇÃO:</t>
  </si>
  <si>
    <t xml:space="preserve"> </t>
  </si>
  <si>
    <t>Boletim de Medição</t>
  </si>
  <si>
    <t xml:space="preserve">SERVIÇO: </t>
  </si>
  <si>
    <t xml:space="preserve">PERÍODO: </t>
  </si>
  <si>
    <t xml:space="preserve">FORNECEDOR:  </t>
  </si>
  <si>
    <t>DATA: 14/01/2019</t>
  </si>
  <si>
    <t>MEDIÇÃO: 01</t>
  </si>
  <si>
    <t>FOLHA: 01/01</t>
  </si>
  <si>
    <t xml:space="preserve">Local:  5º Pavto </t>
  </si>
  <si>
    <t>Obra:  Sala Financeiro GSH</t>
  </si>
  <si>
    <t>FO.AZP.15            Rev. 00
11/07/2018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</si>
</sst>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;[Red]0.00"/>
    <numFmt numFmtId="165" formatCode="00"/>
    <numFmt numFmtId="166" formatCode="0.0;[Red]0.0"/>
    <numFmt numFmtId="167" formatCode="&quot;R$&quot;\ #,##0.00"/>
    <numFmt numFmtId="168" formatCode="_-&quot;R$&quot;\ * #,##0.00_-;\-&quot;R$&quot;\ * #,##0.00_-;_-&quot;R$&quot;\ * &quot;-&quot;??_-;_-@_-"/>
  </numFmts>
  <fonts count="26">
    <font>
      <sz val="10"/>
      <name val="Arial"/>
      <family val="2"/>
    </font>
    <font>
      <sz val="10"/>
      <name val="Arial"/>
      <family val="2"/>
    </font>
    <font>
      <b/>
      <sz val="22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Arial"/>
      <family val="2"/>
    </font>
    <font>
      <sz val="12"/>
      <color rgb="FFFF0000"/>
      <name val="Arial"/>
      <family val="2"/>
    </font>
    <font>
      <sz val="12"/>
      <color rgb="FF7030A0"/>
      <name val="Arial"/>
      <family val="2"/>
    </font>
    <font>
      <b/>
      <sz val="10"/>
      <color indexed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indexed="60"/>
      <name val="Calibri"/>
      <family val="2"/>
      <scheme val="minor"/>
    </font>
    <font>
      <sz val="10"/>
      <color indexed="60"/>
      <name val="Calibri"/>
      <family val="2"/>
      <scheme val="minor"/>
    </font>
    <font>
      <sz val="48"/>
      <color rgb="FFFF0000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rgb="FF7030A0"/>
      <name val="Arial"/>
      <family val="2"/>
    </font>
    <font>
      <sz val="14"/>
      <name val="Calibri"/>
      <family val="2"/>
      <scheme val="minor"/>
    </font>
    <font>
      <b/>
      <sz val="14"/>
      <name val="Arial"/>
      <family val="2"/>
    </font>
    <font>
      <b/>
      <sz val="14"/>
      <name val="Calibri "/>
    </font>
    <font>
      <sz val="14"/>
      <name val="Calibri "/>
    </font>
    <font>
      <sz val="12"/>
      <name val="Calibri 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medium">
        <color indexed="64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medium">
        <color indexed="64"/>
      </left>
      <right style="medium">
        <color indexed="64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indexed="64"/>
      </left>
      <right style="medium">
        <color indexed="64"/>
      </right>
      <top style="thin">
        <color theme="1" tint="0.34998626667073579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4">
    <xf numFmtId="0" fontId="0" fillId="0" borderId="0" xfId="0"/>
    <xf numFmtId="165" fontId="3" fillId="2" borderId="4" xfId="0" applyNumberFormat="1" applyFont="1" applyFill="1" applyBorder="1"/>
    <xf numFmtId="165" fontId="3" fillId="2" borderId="6" xfId="0" applyNumberFormat="1" applyFont="1" applyFill="1" applyBorder="1"/>
    <xf numFmtId="0" fontId="3" fillId="2" borderId="6" xfId="0" applyFont="1" applyFill="1" applyBorder="1"/>
    <xf numFmtId="1" fontId="3" fillId="2" borderId="6" xfId="0" applyNumberFormat="1" applyFont="1" applyFill="1" applyBorder="1" applyAlignment="1">
      <alignment horizontal="center" vertical="center"/>
    </xf>
    <xf numFmtId="43" fontId="3" fillId="2" borderId="6" xfId="1" applyFont="1" applyFill="1" applyBorder="1" applyAlignment="1">
      <alignment horizontal="center" vertical="center"/>
    </xf>
    <xf numFmtId="43" fontId="3" fillId="2" borderId="6" xfId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6" fontId="3" fillId="2" borderId="6" xfId="0" applyNumberFormat="1" applyFont="1" applyFill="1" applyBorder="1" applyAlignment="1">
      <alignment horizontal="center"/>
    </xf>
    <xf numFmtId="4" fontId="3" fillId="2" borderId="6" xfId="0" applyNumberFormat="1" applyFont="1" applyFill="1" applyBorder="1"/>
    <xf numFmtId="4" fontId="3" fillId="2" borderId="5" xfId="0" applyNumberFormat="1" applyFont="1" applyFill="1" applyBorder="1"/>
    <xf numFmtId="1" fontId="6" fillId="2" borderId="7" xfId="0" applyNumberFormat="1" applyFont="1" applyFill="1" applyBorder="1" applyAlignment="1">
      <alignment vertical="center"/>
    </xf>
    <xf numFmtId="43" fontId="6" fillId="2" borderId="8" xfId="1" applyFont="1" applyFill="1" applyBorder="1" applyAlignment="1">
      <alignment vertical="center"/>
    </xf>
    <xf numFmtId="1" fontId="7" fillId="2" borderId="8" xfId="0" applyNumberFormat="1" applyFont="1" applyFill="1" applyBorder="1" applyAlignment="1">
      <alignment vertical="center"/>
    </xf>
    <xf numFmtId="43" fontId="7" fillId="2" borderId="8" xfId="1" applyFont="1" applyFill="1" applyBorder="1" applyAlignment="1">
      <alignment vertical="center"/>
    </xf>
    <xf numFmtId="43" fontId="7" fillId="2" borderId="8" xfId="1" applyFont="1" applyFill="1" applyBorder="1" applyAlignment="1">
      <alignment horizontal="center" vertical="center"/>
    </xf>
    <xf numFmtId="166" fontId="7" fillId="2" borderId="8" xfId="0" applyNumberFormat="1" applyFont="1" applyFill="1" applyBorder="1" applyAlignment="1">
      <alignment horizontal="center" vertical="center"/>
    </xf>
    <xf numFmtId="1" fontId="7" fillId="2" borderId="9" xfId="0" applyNumberFormat="1" applyFont="1" applyFill="1" applyBorder="1" applyAlignment="1">
      <alignment vertical="center"/>
    </xf>
    <xf numFmtId="1" fontId="6" fillId="2" borderId="12" xfId="0" applyNumberFormat="1" applyFont="1" applyFill="1" applyBorder="1" applyAlignment="1">
      <alignment vertical="center"/>
    </xf>
    <xf numFmtId="1" fontId="6" fillId="2" borderId="13" xfId="0" applyNumberFormat="1" applyFont="1" applyFill="1" applyBorder="1" applyAlignment="1">
      <alignment vertical="center"/>
    </xf>
    <xf numFmtId="1" fontId="7" fillId="2" borderId="13" xfId="0" applyNumberFormat="1" applyFont="1" applyFill="1" applyBorder="1" applyAlignment="1">
      <alignment vertical="center"/>
    </xf>
    <xf numFmtId="43" fontId="7" fillId="2" borderId="13" xfId="1" applyFont="1" applyFill="1" applyBorder="1" applyAlignment="1">
      <alignment horizontal="center" vertical="center"/>
    </xf>
    <xf numFmtId="1" fontId="7" fillId="2" borderId="13" xfId="0" applyNumberFormat="1" applyFont="1" applyFill="1" applyBorder="1" applyAlignment="1">
      <alignment horizontal="center" vertical="center"/>
    </xf>
    <xf numFmtId="43" fontId="8" fillId="2" borderId="13" xfId="1" applyFont="1" applyFill="1" applyBorder="1" applyAlignment="1">
      <alignment horizontal="right" vertical="center"/>
    </xf>
    <xf numFmtId="43" fontId="6" fillId="2" borderId="13" xfId="1" applyFont="1" applyFill="1" applyBorder="1" applyAlignment="1">
      <alignment horizontal="right" vertical="center"/>
    </xf>
    <xf numFmtId="0" fontId="6" fillId="2" borderId="13" xfId="1" applyNumberFormat="1" applyFont="1" applyFill="1" applyBorder="1" applyAlignment="1">
      <alignment horizontal="left" vertical="center"/>
    </xf>
    <xf numFmtId="1" fontId="7" fillId="2" borderId="15" xfId="0" applyNumberFormat="1" applyFont="1" applyFill="1" applyBorder="1" applyAlignment="1">
      <alignment vertical="center"/>
    </xf>
    <xf numFmtId="164" fontId="7" fillId="2" borderId="17" xfId="0" applyNumberFormat="1" applyFont="1" applyFill="1" applyBorder="1" applyAlignment="1">
      <alignment horizontal="center" vertical="center"/>
    </xf>
    <xf numFmtId="43" fontId="7" fillId="2" borderId="17" xfId="1" applyFont="1" applyFill="1" applyBorder="1" applyAlignment="1">
      <alignment horizontal="center" vertical="center"/>
    </xf>
    <xf numFmtId="166" fontId="7" fillId="2" borderId="17" xfId="0" applyNumberFormat="1" applyFont="1" applyFill="1" applyBorder="1" applyAlignment="1">
      <alignment horizontal="center" vertical="center"/>
    </xf>
    <xf numFmtId="164" fontId="7" fillId="2" borderId="17" xfId="0" applyNumberFormat="1" applyFont="1" applyFill="1" applyBorder="1" applyAlignment="1">
      <alignment vertical="center"/>
    </xf>
    <xf numFmtId="164" fontId="7" fillId="2" borderId="18" xfId="0" applyNumberFormat="1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165" fontId="6" fillId="3" borderId="22" xfId="0" applyNumberFormat="1" applyFont="1" applyFill="1" applyBorder="1" applyAlignment="1">
      <alignment horizontal="center" vertical="center"/>
    </xf>
    <xf numFmtId="1" fontId="6" fillId="3" borderId="19" xfId="0" applyNumberFormat="1" applyFont="1" applyFill="1" applyBorder="1" applyAlignment="1">
      <alignment horizontal="center" vertical="center"/>
    </xf>
    <xf numFmtId="43" fontId="6" fillId="3" borderId="19" xfId="1" applyFont="1" applyFill="1" applyBorder="1" applyAlignment="1">
      <alignment horizontal="center" vertical="center"/>
    </xf>
    <xf numFmtId="43" fontId="6" fillId="3" borderId="23" xfId="1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43" fontId="6" fillId="3" borderId="25" xfId="1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43" fontId="6" fillId="3" borderId="26" xfId="1" applyFont="1" applyFill="1" applyBorder="1" applyAlignment="1">
      <alignment horizontal="center" vertical="center"/>
    </xf>
    <xf numFmtId="166" fontId="6" fillId="3" borderId="27" xfId="0" applyNumberFormat="1" applyFont="1" applyFill="1" applyBorder="1" applyAlignment="1">
      <alignment horizontal="center" vertical="center"/>
    </xf>
    <xf numFmtId="4" fontId="6" fillId="3" borderId="23" xfId="0" applyNumberFormat="1" applyFont="1" applyFill="1" applyBorder="1" applyAlignment="1">
      <alignment horizontal="center" vertical="center"/>
    </xf>
    <xf numFmtId="4" fontId="6" fillId="3" borderId="25" xfId="0" applyNumberFormat="1" applyFont="1" applyFill="1" applyBorder="1" applyAlignment="1">
      <alignment horizontal="center" vertical="center"/>
    </xf>
    <xf numFmtId="4" fontId="6" fillId="3" borderId="27" xfId="0" applyNumberFormat="1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167" fontId="7" fillId="0" borderId="31" xfId="0" applyNumberFormat="1" applyFont="1" applyFill="1" applyBorder="1" applyAlignment="1">
      <alignment horizontal="center" vertical="center"/>
    </xf>
    <xf numFmtId="43" fontId="7" fillId="0" borderId="31" xfId="1" applyFont="1" applyFill="1" applyBorder="1" applyAlignment="1" applyProtection="1">
      <alignment horizontal="center" vertical="center"/>
      <protection locked="0"/>
    </xf>
    <xf numFmtId="43" fontId="3" fillId="4" borderId="33" xfId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/>
    </xf>
    <xf numFmtId="43" fontId="10" fillId="0" borderId="0" xfId="0" applyNumberFormat="1" applyFont="1" applyAlignment="1">
      <alignment vertical="center"/>
    </xf>
    <xf numFmtId="43" fontId="11" fillId="0" borderId="0" xfId="0" applyNumberFormat="1" applyFont="1" applyAlignment="1">
      <alignment vertical="center"/>
    </xf>
    <xf numFmtId="43" fontId="12" fillId="0" borderId="0" xfId="0" applyNumberFormat="1" applyFont="1" applyAlignment="1">
      <alignment vertical="center"/>
    </xf>
    <xf numFmtId="43" fontId="7" fillId="0" borderId="31" xfId="1" applyFont="1" applyFill="1" applyBorder="1" applyAlignment="1">
      <alignment horizontal="center" vertical="center"/>
    </xf>
    <xf numFmtId="4" fontId="7" fillId="0" borderId="28" xfId="0" applyNumberFormat="1" applyFont="1" applyFill="1" applyBorder="1" applyAlignment="1" applyProtection="1">
      <alignment horizontal="center" vertical="center"/>
    </xf>
    <xf numFmtId="4" fontId="7" fillId="0" borderId="32" xfId="0" applyNumberFormat="1" applyFont="1" applyFill="1" applyBorder="1" applyAlignment="1" applyProtection="1">
      <alignment horizontal="center" vertical="center"/>
    </xf>
    <xf numFmtId="4" fontId="7" fillId="0" borderId="34" xfId="0" applyNumberFormat="1" applyFont="1" applyFill="1" applyBorder="1" applyAlignment="1" applyProtection="1">
      <alignment horizontal="center" vertical="center"/>
    </xf>
    <xf numFmtId="4" fontId="7" fillId="0" borderId="3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0" fontId="3" fillId="2" borderId="41" xfId="0" applyFont="1" applyFill="1" applyBorder="1" applyAlignment="1">
      <alignment horizontal="center" vertical="center"/>
    </xf>
    <xf numFmtId="167" fontId="3" fillId="2" borderId="41" xfId="0" applyNumberFormat="1" applyFont="1" applyFill="1" applyBorder="1" applyAlignment="1">
      <alignment horizontal="center" vertical="center"/>
    </xf>
    <xf numFmtId="43" fontId="3" fillId="2" borderId="41" xfId="1" applyFont="1" applyFill="1" applyBorder="1" applyAlignment="1">
      <alignment horizontal="center" vertical="center"/>
    </xf>
    <xf numFmtId="43" fontId="3" fillId="2" borderId="41" xfId="1" applyFont="1" applyFill="1" applyBorder="1" applyAlignment="1" applyProtection="1">
      <alignment horizontal="center" vertical="center"/>
      <protection locked="0"/>
    </xf>
    <xf numFmtId="43" fontId="3" fillId="4" borderId="42" xfId="1" applyFont="1" applyFill="1" applyBorder="1" applyAlignment="1" applyProtection="1">
      <alignment horizontal="center" vertical="center"/>
      <protection locked="0"/>
    </xf>
    <xf numFmtId="4" fontId="3" fillId="2" borderId="43" xfId="0" applyNumberFormat="1" applyFont="1" applyFill="1" applyBorder="1" applyAlignment="1" applyProtection="1">
      <alignment horizontal="center" vertical="center"/>
    </xf>
    <xf numFmtId="168" fontId="3" fillId="2" borderId="44" xfId="0" applyNumberFormat="1" applyFont="1" applyFill="1" applyBorder="1" applyAlignment="1" applyProtection="1">
      <alignment horizontal="center" vertical="center"/>
    </xf>
    <xf numFmtId="168" fontId="3" fillId="2" borderId="46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165" fontId="9" fillId="3" borderId="47" xfId="0" applyNumberFormat="1" applyFont="1" applyFill="1" applyBorder="1" applyAlignment="1">
      <alignment horizontal="center" vertical="center"/>
    </xf>
    <xf numFmtId="165" fontId="9" fillId="3" borderId="53" xfId="0" applyNumberFormat="1" applyFont="1" applyFill="1" applyBorder="1" applyAlignment="1">
      <alignment horizontal="center" vertical="center"/>
    </xf>
    <xf numFmtId="4" fontId="13" fillId="3" borderId="57" xfId="0" applyNumberFormat="1" applyFont="1" applyFill="1" applyBorder="1" applyAlignment="1">
      <alignment horizontal="right" vertical="center"/>
    </xf>
    <xf numFmtId="4" fontId="13" fillId="3" borderId="58" xfId="0" applyNumberFormat="1" applyFont="1" applyFill="1" applyBorder="1" applyAlignment="1">
      <alignment horizontal="right" vertical="center"/>
    </xf>
    <xf numFmtId="4" fontId="13" fillId="3" borderId="56" xfId="0" applyNumberFormat="1" applyFont="1" applyFill="1" applyBorder="1" applyAlignment="1">
      <alignment horizontal="right" vertical="center"/>
    </xf>
    <xf numFmtId="0" fontId="9" fillId="3" borderId="55" xfId="0" applyFont="1" applyFill="1" applyBorder="1" applyAlignment="1">
      <alignment horizontal="right" vertical="center" wrapText="1"/>
    </xf>
    <xf numFmtId="43" fontId="9" fillId="3" borderId="55" xfId="1" applyFont="1" applyFill="1" applyBorder="1" applyAlignment="1">
      <alignment horizontal="right" vertical="center" wrapText="1"/>
    </xf>
    <xf numFmtId="0" fontId="13" fillId="3" borderId="55" xfId="0" applyFont="1" applyFill="1" applyBorder="1" applyAlignment="1">
      <alignment horizontal="right" vertical="center" wrapText="1"/>
    </xf>
    <xf numFmtId="43" fontId="13" fillId="3" borderId="55" xfId="1" applyFont="1" applyFill="1" applyBorder="1" applyAlignment="1">
      <alignment horizontal="right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3" borderId="56" xfId="0" applyFont="1" applyFill="1" applyBorder="1" applyAlignment="1">
      <alignment horizontal="center" vertical="center" wrapText="1"/>
    </xf>
    <xf numFmtId="4" fontId="9" fillId="3" borderId="58" xfId="0" applyNumberFormat="1" applyFont="1" applyFill="1" applyBorder="1" applyAlignment="1">
      <alignment horizontal="right" vertical="center"/>
    </xf>
    <xf numFmtId="4" fontId="9" fillId="3" borderId="56" xfId="0" applyNumberFormat="1" applyFont="1" applyFill="1" applyBorder="1" applyAlignment="1">
      <alignment horizontal="right" vertical="center"/>
    </xf>
    <xf numFmtId="0" fontId="13" fillId="3" borderId="55" xfId="0" applyFont="1" applyFill="1" applyBorder="1" applyAlignment="1">
      <alignment horizontal="right" vertical="center"/>
    </xf>
    <xf numFmtId="43" fontId="13" fillId="3" borderId="55" xfId="1" applyFont="1" applyFill="1" applyBorder="1" applyAlignment="1">
      <alignment horizontal="right" vertical="center"/>
    </xf>
    <xf numFmtId="0" fontId="13" fillId="3" borderId="55" xfId="0" applyFont="1" applyFill="1" applyBorder="1" applyAlignment="1">
      <alignment horizontal="center" vertical="center"/>
    </xf>
    <xf numFmtId="0" fontId="13" fillId="3" borderId="56" xfId="0" applyFont="1" applyFill="1" applyBorder="1" applyAlignment="1">
      <alignment horizontal="center" vertical="center"/>
    </xf>
    <xf numFmtId="165" fontId="9" fillId="3" borderId="59" xfId="0" applyNumberFormat="1" applyFont="1" applyFill="1" applyBorder="1" applyAlignment="1">
      <alignment horizontal="center" vertical="center"/>
    </xf>
    <xf numFmtId="0" fontId="13" fillId="3" borderId="60" xfId="0" applyFont="1" applyFill="1" applyBorder="1" applyAlignment="1">
      <alignment horizontal="right" vertical="center"/>
    </xf>
    <xf numFmtId="43" fontId="13" fillId="3" borderId="60" xfId="1" applyFont="1" applyFill="1" applyBorder="1" applyAlignment="1">
      <alignment horizontal="right" vertical="center"/>
    </xf>
    <xf numFmtId="0" fontId="13" fillId="3" borderId="61" xfId="0" applyFont="1" applyFill="1" applyBorder="1" applyAlignment="1">
      <alignment horizontal="center" vertical="center"/>
    </xf>
    <xf numFmtId="4" fontId="13" fillId="3" borderId="61" xfId="0" applyNumberFormat="1" applyFont="1" applyFill="1" applyBorder="1" applyAlignment="1">
      <alignment horizontal="right" vertical="center"/>
    </xf>
    <xf numFmtId="0" fontId="13" fillId="3" borderId="62" xfId="0" applyFont="1" applyFill="1" applyBorder="1" applyAlignment="1">
      <alignment horizontal="right" vertical="center"/>
    </xf>
    <xf numFmtId="43" fontId="13" fillId="3" borderId="62" xfId="1" applyFont="1" applyFill="1" applyBorder="1" applyAlignment="1">
      <alignment horizontal="right" vertical="center"/>
    </xf>
    <xf numFmtId="0" fontId="13" fillId="3" borderId="62" xfId="0" applyFont="1" applyFill="1" applyBorder="1" applyAlignment="1">
      <alignment horizontal="right" vertical="center" wrapText="1"/>
    </xf>
    <xf numFmtId="43" fontId="13" fillId="3" borderId="62" xfId="1" applyFont="1" applyFill="1" applyBorder="1" applyAlignment="1">
      <alignment horizontal="right" vertical="center" wrapText="1"/>
    </xf>
    <xf numFmtId="0" fontId="13" fillId="3" borderId="62" xfId="0" applyFont="1" applyFill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4" fontId="13" fillId="3" borderId="64" xfId="0" applyNumberFormat="1" applyFont="1" applyFill="1" applyBorder="1" applyAlignment="1">
      <alignment horizontal="right" vertical="center"/>
    </xf>
    <xf numFmtId="4" fontId="13" fillId="3" borderId="44" xfId="0" applyNumberFormat="1" applyFont="1" applyFill="1" applyBorder="1" applyAlignment="1">
      <alignment horizontal="right" vertical="center"/>
    </xf>
    <xf numFmtId="4" fontId="13" fillId="3" borderId="63" xfId="0" applyNumberFormat="1" applyFont="1" applyFill="1" applyBorder="1" applyAlignment="1">
      <alignment horizontal="right" vertical="center"/>
    </xf>
    <xf numFmtId="165" fontId="3" fillId="0" borderId="65" xfId="0" applyNumberFormat="1" applyFont="1" applyFill="1" applyBorder="1" applyAlignment="1">
      <alignment horizontal="center" vertical="center"/>
    </xf>
    <xf numFmtId="165" fontId="3" fillId="0" borderId="7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/>
    </xf>
    <xf numFmtId="1" fontId="3" fillId="0" borderId="8" xfId="0" applyNumberFormat="1" applyFont="1" applyFill="1" applyBorder="1" applyAlignment="1">
      <alignment horizontal="center" vertical="center"/>
    </xf>
    <xf numFmtId="43" fontId="3" fillId="0" borderId="8" xfId="1" applyFont="1" applyFill="1" applyBorder="1" applyAlignment="1">
      <alignment horizontal="center" vertical="center"/>
    </xf>
    <xf numFmtId="10" fontId="3" fillId="0" borderId="8" xfId="0" applyNumberFormat="1" applyFont="1" applyFill="1" applyBorder="1" applyAlignment="1">
      <alignment horizontal="center" vertical="center"/>
    </xf>
    <xf numFmtId="166" fontId="3" fillId="0" borderId="8" xfId="0" applyNumberFormat="1" applyFont="1" applyFill="1" applyBorder="1" applyAlignment="1">
      <alignment horizontal="center" vertical="center"/>
    </xf>
    <xf numFmtId="166" fontId="3" fillId="0" borderId="9" xfId="0" applyNumberFormat="1" applyFont="1" applyFill="1" applyBorder="1" applyAlignment="1">
      <alignment horizontal="center" vertical="center"/>
    </xf>
    <xf numFmtId="4" fontId="3" fillId="0" borderId="66" xfId="0" applyNumberFormat="1" applyFont="1" applyFill="1" applyBorder="1" applyAlignment="1">
      <alignment horizontal="right" vertical="center"/>
    </xf>
    <xf numFmtId="4" fontId="3" fillId="0" borderId="67" xfId="0" applyNumberFormat="1" applyFont="1" applyFill="1" applyBorder="1" applyAlignment="1">
      <alignment horizontal="right" vertical="center"/>
    </xf>
    <xf numFmtId="4" fontId="3" fillId="0" borderId="68" xfId="0" applyNumberFormat="1" applyFont="1" applyFill="1" applyBorder="1" applyAlignment="1">
      <alignment horizontal="right" vertical="center"/>
    </xf>
    <xf numFmtId="4" fontId="3" fillId="0" borderId="69" xfId="0" applyNumberFormat="1" applyFont="1" applyFill="1" applyBorder="1" applyAlignment="1">
      <alignment horizontal="right" vertical="center"/>
    </xf>
    <xf numFmtId="165" fontId="5" fillId="0" borderId="70" xfId="0" applyNumberFormat="1" applyFont="1" applyFill="1" applyBorder="1" applyAlignment="1">
      <alignment horizontal="center" vertical="center"/>
    </xf>
    <xf numFmtId="1" fontId="5" fillId="0" borderId="13" xfId="0" applyNumberFormat="1" applyFont="1" applyFill="1" applyBorder="1" applyAlignment="1">
      <alignment horizontal="center" vertical="center"/>
    </xf>
    <xf numFmtId="43" fontId="5" fillId="0" borderId="13" xfId="1" applyFont="1" applyFill="1" applyBorder="1" applyAlignment="1">
      <alignment horizontal="center" vertical="center"/>
    </xf>
    <xf numFmtId="10" fontId="5" fillId="0" borderId="13" xfId="0" applyNumberFormat="1" applyFont="1" applyFill="1" applyBorder="1" applyAlignment="1">
      <alignment horizontal="center" vertical="center"/>
    </xf>
    <xf numFmtId="4" fontId="5" fillId="0" borderId="14" xfId="0" applyNumberFormat="1" applyFont="1" applyFill="1" applyBorder="1" applyAlignment="1">
      <alignment horizontal="right" vertical="center"/>
    </xf>
    <xf numFmtId="4" fontId="5" fillId="0" borderId="71" xfId="0" applyNumberFormat="1" applyFont="1" applyFill="1" applyBorder="1" applyAlignment="1">
      <alignment horizontal="right" vertical="center"/>
    </xf>
    <xf numFmtId="165" fontId="3" fillId="0" borderId="72" xfId="0" applyNumberFormat="1" applyFont="1" applyFill="1" applyBorder="1" applyAlignment="1">
      <alignment horizontal="center" vertical="center"/>
    </xf>
    <xf numFmtId="165" fontId="3" fillId="0" borderId="16" xfId="0" applyNumberFormat="1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left" vertical="center" wrapText="1"/>
    </xf>
    <xf numFmtId="1" fontId="3" fillId="0" borderId="17" xfId="0" applyNumberFormat="1" applyFont="1" applyFill="1" applyBorder="1" applyAlignment="1">
      <alignment horizontal="center" vertical="center"/>
    </xf>
    <xf numFmtId="43" fontId="3" fillId="0" borderId="17" xfId="1" applyFont="1" applyFill="1" applyBorder="1" applyAlignment="1">
      <alignment horizontal="center" vertical="center"/>
    </xf>
    <xf numFmtId="10" fontId="3" fillId="0" borderId="17" xfId="0" applyNumberFormat="1" applyFont="1" applyFill="1" applyBorder="1" applyAlignment="1">
      <alignment horizontal="center" vertical="center"/>
    </xf>
    <xf numFmtId="166" fontId="3" fillId="0" borderId="17" xfId="0" applyNumberFormat="1" applyFont="1" applyFill="1" applyBorder="1" applyAlignment="1">
      <alignment horizontal="center" vertical="center"/>
    </xf>
    <xf numFmtId="166" fontId="3" fillId="0" borderId="18" xfId="0" applyNumberFormat="1" applyFont="1" applyFill="1" applyBorder="1" applyAlignment="1">
      <alignment horizontal="center" vertical="center"/>
    </xf>
    <xf numFmtId="4" fontId="3" fillId="0" borderId="73" xfId="0" applyNumberFormat="1" applyFont="1" applyFill="1" applyBorder="1" applyAlignment="1">
      <alignment horizontal="right" vertical="center"/>
    </xf>
    <xf numFmtId="4" fontId="3" fillId="0" borderId="74" xfId="0" applyNumberFormat="1" applyFont="1" applyFill="1" applyBorder="1" applyAlignment="1">
      <alignment horizontal="right" vertical="center"/>
    </xf>
    <xf numFmtId="4" fontId="3" fillId="0" borderId="75" xfId="0" applyNumberFormat="1" applyFont="1" applyFill="1" applyBorder="1" applyAlignment="1">
      <alignment horizontal="right" vertical="center"/>
    </xf>
    <xf numFmtId="4" fontId="3" fillId="0" borderId="76" xfId="0" applyNumberFormat="1" applyFont="1" applyFill="1" applyBorder="1" applyAlignment="1">
      <alignment horizontal="right" vertical="center"/>
    </xf>
    <xf numFmtId="165" fontId="3" fillId="2" borderId="10" xfId="0" applyNumberFormat="1" applyFont="1" applyFill="1" applyBorder="1" applyAlignment="1">
      <alignment vertical="center"/>
    </xf>
    <xf numFmtId="165" fontId="3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1" fontId="3" fillId="2" borderId="3" xfId="0" applyNumberFormat="1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6" fontId="3" fillId="2" borderId="3" xfId="0" applyNumberFormat="1" applyFont="1" applyFill="1" applyBorder="1" applyAlignment="1">
      <alignment horizontal="center" vertical="center"/>
    </xf>
    <xf numFmtId="1" fontId="3" fillId="2" borderId="0" xfId="0" applyNumberFormat="1" applyFont="1" applyFill="1" applyBorder="1" applyAlignment="1">
      <alignment horizontal="center" vertical="center"/>
    </xf>
    <xf numFmtId="43" fontId="3" fillId="2" borderId="0" xfId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66" fontId="3" fillId="2" borderId="0" xfId="0" applyNumberFormat="1" applyFont="1" applyFill="1" applyBorder="1" applyAlignment="1">
      <alignment horizontal="center" vertical="center"/>
    </xf>
    <xf numFmtId="4" fontId="3" fillId="2" borderId="10" xfId="0" applyNumberFormat="1" applyFont="1" applyFill="1" applyBorder="1" applyAlignment="1">
      <alignment vertical="center"/>
    </xf>
    <xf numFmtId="4" fontId="3" fillId="2" borderId="0" xfId="0" applyNumberFormat="1" applyFont="1" applyFill="1" applyBorder="1" applyAlignment="1">
      <alignment vertical="center"/>
    </xf>
    <xf numFmtId="4" fontId="3" fillId="2" borderId="11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horizontal="center" vertical="center"/>
    </xf>
    <xf numFmtId="165" fontId="4" fillId="2" borderId="10" xfId="0" applyNumberFormat="1" applyFont="1" applyFill="1" applyBorder="1" applyAlignment="1">
      <alignment horizontal="center" vertical="center"/>
    </xf>
    <xf numFmtId="165" fontId="14" fillId="2" borderId="77" xfId="0" applyNumberFormat="1" applyFont="1" applyFill="1" applyBorder="1" applyAlignment="1">
      <alignment vertical="center"/>
    </xf>
    <xf numFmtId="0" fontId="3" fillId="2" borderId="77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43" fontId="4" fillId="2" borderId="0" xfId="1" applyFont="1" applyFill="1" applyBorder="1" applyAlignment="1">
      <alignment horizontal="center" vertical="center"/>
    </xf>
    <xf numFmtId="164" fontId="3" fillId="2" borderId="77" xfId="0" applyNumberFormat="1" applyFont="1" applyFill="1" applyBorder="1" applyAlignment="1">
      <alignment vertical="center"/>
    </xf>
    <xf numFmtId="0" fontId="4" fillId="2" borderId="11" xfId="0" applyFont="1" applyFill="1" applyBorder="1" applyAlignment="1">
      <alignment horizontal="center" vertical="center"/>
    </xf>
    <xf numFmtId="4" fontId="4" fillId="2" borderId="10" xfId="0" applyNumberFormat="1" applyFont="1" applyFill="1" applyBorder="1" applyAlignment="1">
      <alignment horizontal="center" vertical="center"/>
    </xf>
    <xf numFmtId="0" fontId="3" fillId="2" borderId="77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165" fontId="15" fillId="2" borderId="4" xfId="0" applyNumberFormat="1" applyFont="1" applyFill="1" applyBorder="1" applyAlignment="1">
      <alignment vertical="center"/>
    </xf>
    <xf numFmtId="165" fontId="15" fillId="2" borderId="6" xfId="0" applyNumberFormat="1" applyFont="1" applyFill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1" fontId="16" fillId="2" borderId="6" xfId="0" applyNumberFormat="1" applyFont="1" applyFill="1" applyBorder="1" applyAlignment="1">
      <alignment horizontal="center" vertical="center"/>
    </xf>
    <xf numFmtId="43" fontId="16" fillId="2" borderId="6" xfId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166" fontId="16" fillId="2" borderId="6" xfId="0" applyNumberFormat="1" applyFont="1" applyFill="1" applyBorder="1" applyAlignment="1">
      <alignment horizontal="center" vertical="center"/>
    </xf>
    <xf numFmtId="4" fontId="3" fillId="2" borderId="4" xfId="0" applyNumberFormat="1" applyFont="1" applyFill="1" applyBorder="1" applyAlignment="1">
      <alignment vertical="center"/>
    </xf>
    <xf numFmtId="4" fontId="16" fillId="2" borderId="6" xfId="0" applyNumberFormat="1" applyFont="1" applyFill="1" applyBorder="1" applyAlignment="1">
      <alignment vertical="center"/>
    </xf>
    <xf numFmtId="4" fontId="16" fillId="2" borderId="5" xfId="0" applyNumberFormat="1" applyFont="1" applyFill="1" applyBorder="1" applyAlignment="1">
      <alignment vertical="center"/>
    </xf>
    <xf numFmtId="0" fontId="3" fillId="0" borderId="10" xfId="0" applyFont="1" applyBorder="1"/>
    <xf numFmtId="0" fontId="3" fillId="0" borderId="0" xfId="0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4" fontId="3" fillId="0" borderId="0" xfId="0" applyNumberFormat="1" applyFont="1"/>
    <xf numFmtId="0" fontId="4" fillId="0" borderId="0" xfId="0" applyFont="1" applyAlignment="1">
      <alignment horizontal="center" vertical="center"/>
    </xf>
    <xf numFmtId="166" fontId="6" fillId="2" borderId="13" xfId="0" applyNumberFormat="1" applyFont="1" applyFill="1" applyBorder="1" applyAlignment="1">
      <alignment horizontal="center" vertical="center"/>
    </xf>
    <xf numFmtId="1" fontId="6" fillId="2" borderId="16" xfId="0" applyNumberFormat="1" applyFont="1" applyFill="1" applyBorder="1" applyAlignment="1">
      <alignment vertical="center"/>
    </xf>
    <xf numFmtId="1" fontId="6" fillId="2" borderId="17" xfId="0" applyNumberFormat="1" applyFont="1" applyFill="1" applyBorder="1" applyAlignment="1">
      <alignment vertical="center"/>
    </xf>
    <xf numFmtId="43" fontId="18" fillId="0" borderId="0" xfId="0" applyNumberFormat="1" applyFont="1" applyAlignment="1">
      <alignment vertical="center"/>
    </xf>
    <xf numFmtId="43" fontId="19" fillId="0" borderId="0" xfId="0" applyNumberFormat="1" applyFont="1" applyAlignment="1">
      <alignment vertical="center"/>
    </xf>
    <xf numFmtId="43" fontId="20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64" fontId="3" fillId="2" borderId="5" xfId="0" applyNumberFormat="1" applyFont="1" applyFill="1" applyBorder="1" applyAlignment="1">
      <alignment vertical="center" wrapText="1"/>
    </xf>
    <xf numFmtId="4" fontId="3" fillId="0" borderId="11" xfId="0" applyNumberFormat="1" applyFont="1" applyBorder="1"/>
    <xf numFmtId="4" fontId="5" fillId="3" borderId="51" xfId="0" applyNumberFormat="1" applyFont="1" applyFill="1" applyBorder="1" applyAlignment="1">
      <alignment horizontal="right" vertical="center"/>
    </xf>
    <xf numFmtId="4" fontId="5" fillId="3" borderId="52" xfId="0" applyNumberFormat="1" applyFont="1" applyFill="1" applyBorder="1" applyAlignment="1">
      <alignment horizontal="right" vertical="center"/>
    </xf>
    <xf numFmtId="4" fontId="5" fillId="0" borderId="28" xfId="0" applyNumberFormat="1" applyFont="1" applyFill="1" applyBorder="1" applyAlignment="1" applyProtection="1">
      <alignment horizontal="center" vertical="center"/>
    </xf>
    <xf numFmtId="4" fontId="5" fillId="0" borderId="32" xfId="0" applyNumberFormat="1" applyFont="1" applyFill="1" applyBorder="1" applyAlignment="1" applyProtection="1">
      <alignment horizontal="center" vertical="center"/>
    </xf>
    <xf numFmtId="43" fontId="21" fillId="4" borderId="33" xfId="1" applyFont="1" applyFill="1" applyBorder="1" applyAlignment="1" applyProtection="1">
      <alignment horizontal="center" vertical="center"/>
      <protection locked="0"/>
    </xf>
    <xf numFmtId="4" fontId="5" fillId="0" borderId="34" xfId="0" applyNumberFormat="1" applyFont="1" applyFill="1" applyBorder="1" applyAlignment="1" applyProtection="1">
      <alignment horizontal="center" vertical="center"/>
    </xf>
    <xf numFmtId="4" fontId="5" fillId="0" borderId="35" xfId="0" applyNumberFormat="1" applyFont="1" applyFill="1" applyBorder="1" applyAlignment="1" applyProtection="1">
      <alignment horizontal="center" vertical="center"/>
    </xf>
    <xf numFmtId="43" fontId="21" fillId="4" borderId="45" xfId="1" applyFont="1" applyFill="1" applyBorder="1" applyAlignment="1" applyProtection="1">
      <alignment horizontal="center" vertical="center"/>
      <protection locked="0"/>
    </xf>
    <xf numFmtId="0" fontId="22" fillId="0" borderId="28" xfId="0" quotePrefix="1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167" fontId="21" fillId="0" borderId="31" xfId="0" applyNumberFormat="1" applyFont="1" applyFill="1" applyBorder="1" applyAlignment="1">
      <alignment horizontal="center" vertical="center"/>
    </xf>
    <xf numFmtId="43" fontId="5" fillId="0" borderId="31" xfId="1" applyFont="1" applyFill="1" applyBorder="1" applyAlignment="1">
      <alignment horizontal="center" vertical="center"/>
    </xf>
    <xf numFmtId="43" fontId="21" fillId="0" borderId="31" xfId="1" applyFont="1" applyFill="1" applyBorder="1" applyAlignment="1" applyProtection="1">
      <alignment horizontal="center" vertical="center"/>
      <protection locked="0"/>
    </xf>
    <xf numFmtId="10" fontId="21" fillId="0" borderId="32" xfId="0" applyNumberFormat="1" applyFont="1" applyFill="1" applyBorder="1" applyAlignment="1" applyProtection="1">
      <alignment horizontal="center" vertical="center"/>
      <protection locked="0"/>
    </xf>
    <xf numFmtId="43" fontId="21" fillId="0" borderId="31" xfId="1" applyFont="1" applyFill="1" applyBorder="1" applyAlignment="1">
      <alignment horizontal="center" vertical="center"/>
    </xf>
    <xf numFmtId="4" fontId="21" fillId="0" borderId="28" xfId="0" applyNumberFormat="1" applyFont="1" applyFill="1" applyBorder="1" applyAlignment="1" applyProtection="1">
      <alignment horizontal="center" vertical="center"/>
    </xf>
    <xf numFmtId="4" fontId="21" fillId="0" borderId="32" xfId="0" applyNumberFormat="1" applyFont="1" applyFill="1" applyBorder="1" applyAlignment="1" applyProtection="1">
      <alignment horizontal="center" vertical="center"/>
    </xf>
    <xf numFmtId="4" fontId="21" fillId="0" borderId="34" xfId="0" applyNumberFormat="1" applyFont="1" applyFill="1" applyBorder="1" applyAlignment="1" applyProtection="1">
      <alignment horizontal="center" vertical="center"/>
    </xf>
    <xf numFmtId="4" fontId="21" fillId="0" borderId="35" xfId="0" applyNumberFormat="1" applyFont="1" applyFill="1" applyBorder="1" applyAlignment="1" applyProtection="1">
      <alignment horizontal="center" vertical="center"/>
    </xf>
    <xf numFmtId="4" fontId="3" fillId="0" borderId="6" xfId="0" applyNumberFormat="1" applyFont="1" applyBorder="1"/>
    <xf numFmtId="0" fontId="21" fillId="0" borderId="34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167" fontId="5" fillId="0" borderId="31" xfId="0" applyNumberFormat="1" applyFont="1" applyFill="1" applyBorder="1" applyAlignment="1">
      <alignment horizontal="center" vertical="center"/>
    </xf>
    <xf numFmtId="43" fontId="5" fillId="0" borderId="31" xfId="1" applyFont="1" applyFill="1" applyBorder="1" applyAlignment="1" applyProtection="1">
      <alignment horizontal="center" vertical="center"/>
      <protection locked="0"/>
    </xf>
    <xf numFmtId="43" fontId="5" fillId="4" borderId="33" xfId="1" applyFont="1" applyFill="1" applyBorder="1" applyAlignment="1" applyProtection="1">
      <alignment horizontal="center" vertical="center"/>
      <protection locked="0"/>
    </xf>
    <xf numFmtId="0" fontId="23" fillId="0" borderId="28" xfId="0" quotePrefix="1" applyFont="1" applyFill="1" applyBorder="1" applyAlignment="1">
      <alignment horizontal="center" vertical="center"/>
    </xf>
    <xf numFmtId="0" fontId="24" fillId="0" borderId="28" xfId="0" applyFont="1" applyFill="1" applyBorder="1" applyAlignment="1">
      <alignment horizontal="center" vertical="center"/>
    </xf>
    <xf numFmtId="0" fontId="25" fillId="0" borderId="28" xfId="0" applyFont="1" applyFill="1" applyBorder="1" applyAlignment="1">
      <alignment horizontal="center" vertical="center"/>
    </xf>
    <xf numFmtId="0" fontId="3" fillId="2" borderId="78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65" fontId="9" fillId="3" borderId="54" xfId="0" applyNumberFormat="1" applyFont="1" applyFill="1" applyBorder="1" applyAlignment="1">
      <alignment horizontal="right" vertical="center"/>
    </xf>
    <xf numFmtId="165" fontId="9" fillId="3" borderId="55" xfId="0" applyNumberFormat="1" applyFont="1" applyFill="1" applyBorder="1" applyAlignment="1">
      <alignment horizontal="right" vertical="center"/>
    </xf>
    <xf numFmtId="0" fontId="13" fillId="3" borderId="55" xfId="0" applyFont="1" applyFill="1" applyBorder="1" applyAlignment="1">
      <alignment horizontal="right" vertical="center" wrapText="1"/>
    </xf>
    <xf numFmtId="165" fontId="9" fillId="3" borderId="43" xfId="0" applyNumberFormat="1" applyFont="1" applyFill="1" applyBorder="1" applyAlignment="1">
      <alignment horizontal="right" vertical="center"/>
    </xf>
    <xf numFmtId="165" fontId="9" fillId="3" borderId="62" xfId="0" applyNumberFormat="1" applyFont="1" applyFill="1" applyBorder="1" applyAlignment="1">
      <alignment horizontal="right" vertical="center"/>
    </xf>
    <xf numFmtId="0" fontId="5" fillId="0" borderId="13" xfId="0" applyFont="1" applyFill="1" applyBorder="1" applyAlignment="1">
      <alignment horizontal="right" vertical="center" wrapText="1"/>
    </xf>
    <xf numFmtId="0" fontId="5" fillId="0" borderId="15" xfId="0" applyFont="1" applyFill="1" applyBorder="1" applyAlignment="1">
      <alignment horizontal="right" vertical="center" wrapText="1"/>
    </xf>
    <xf numFmtId="164" fontId="3" fillId="2" borderId="0" xfId="0" applyNumberFormat="1" applyFont="1" applyFill="1" applyBorder="1" applyAlignment="1">
      <alignment horizontal="center" vertical="center"/>
    </xf>
    <xf numFmtId="164" fontId="3" fillId="2" borderId="78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4" fontId="3" fillId="2" borderId="78" xfId="0" applyNumberFormat="1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4" fontId="9" fillId="2" borderId="3" xfId="0" applyNumberFormat="1" applyFont="1" applyFill="1" applyBorder="1" applyAlignment="1">
      <alignment horizontal="center" vertical="center"/>
    </xf>
    <xf numFmtId="4" fontId="9" fillId="2" borderId="2" xfId="0" applyNumberFormat="1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horizontal="left" vertical="center"/>
    </xf>
    <xf numFmtId="0" fontId="3" fillId="2" borderId="40" xfId="0" applyFont="1" applyFill="1" applyBorder="1" applyAlignment="1">
      <alignment horizontal="left" vertical="center"/>
    </xf>
    <xf numFmtId="0" fontId="9" fillId="3" borderId="48" xfId="0" applyFont="1" applyFill="1" applyBorder="1" applyAlignment="1">
      <alignment horizontal="right" vertical="center" wrapText="1"/>
    </xf>
    <xf numFmtId="0" fontId="9" fillId="3" borderId="49" xfId="0" applyFont="1" applyFill="1" applyBorder="1" applyAlignment="1">
      <alignment horizontal="right" vertical="center" wrapText="1"/>
    </xf>
    <xf numFmtId="0" fontId="9" fillId="3" borderId="50" xfId="0" applyFont="1" applyFill="1" applyBorder="1" applyAlignment="1">
      <alignment horizontal="right" vertical="center" wrapText="1"/>
    </xf>
    <xf numFmtId="0" fontId="13" fillId="3" borderId="54" xfId="0" applyFont="1" applyFill="1" applyBorder="1" applyAlignment="1">
      <alignment horizontal="right" vertical="center" wrapText="1"/>
    </xf>
    <xf numFmtId="0" fontId="3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21" fillId="0" borderId="36" xfId="0" applyFont="1" applyFill="1" applyBorder="1" applyAlignment="1">
      <alignment horizontal="left" vertical="center"/>
    </xf>
    <xf numFmtId="0" fontId="21" fillId="0" borderId="37" xfId="0" applyFont="1" applyFill="1" applyBorder="1" applyAlignment="1">
      <alignment horizontal="left" vertical="center"/>
    </xf>
    <xf numFmtId="0" fontId="21" fillId="0" borderId="36" xfId="0" applyFont="1" applyFill="1" applyBorder="1" applyAlignment="1">
      <alignment horizontal="left" vertical="center" wrapText="1"/>
    </xf>
    <xf numFmtId="0" fontId="21" fillId="0" borderId="37" xfId="0" applyFont="1" applyFill="1" applyBorder="1" applyAlignment="1">
      <alignment horizontal="left" vertical="center" wrapText="1"/>
    </xf>
    <xf numFmtId="0" fontId="5" fillId="0" borderId="32" xfId="0" applyFont="1" applyFill="1" applyBorder="1" applyAlignment="1">
      <alignment horizontal="left" vertical="center"/>
    </xf>
    <xf numFmtId="0" fontId="5" fillId="0" borderId="34" xfId="0" applyFont="1" applyFill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1" fontId="6" fillId="3" borderId="19" xfId="0" applyNumberFormat="1" applyFont="1" applyFill="1" applyBorder="1" applyAlignment="1">
      <alignment horizontal="center" vertical="center"/>
    </xf>
    <xf numFmtId="1" fontId="6" fillId="3" borderId="20" xfId="0" applyNumberFormat="1" applyFont="1" applyFill="1" applyBorder="1" applyAlignment="1">
      <alignment horizontal="center" vertical="center"/>
    </xf>
    <xf numFmtId="1" fontId="6" fillId="3" borderId="21" xfId="0" applyNumberFormat="1" applyFont="1" applyFill="1" applyBorder="1" applyAlignment="1">
      <alignment horizontal="center" vertical="center"/>
    </xf>
    <xf numFmtId="4" fontId="6" fillId="3" borderId="19" xfId="0" applyNumberFormat="1" applyFont="1" applyFill="1" applyBorder="1" applyAlignment="1">
      <alignment horizontal="center" vertical="center"/>
    </xf>
    <xf numFmtId="4" fontId="6" fillId="3" borderId="20" xfId="0" applyNumberFormat="1" applyFont="1" applyFill="1" applyBorder="1" applyAlignment="1">
      <alignment horizontal="center" vertical="center"/>
    </xf>
    <xf numFmtId="4" fontId="6" fillId="3" borderId="21" xfId="0" applyNumberFormat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left" vertical="center"/>
    </xf>
    <xf numFmtId="0" fontId="5" fillId="0" borderId="30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5" fillId="2" borderId="1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1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11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5" fillId="2" borderId="6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4" fontId="7" fillId="2" borderId="7" xfId="0" applyNumberFormat="1" applyFont="1" applyFill="1" applyBorder="1" applyAlignment="1">
      <alignment horizontal="left" vertical="center"/>
    </xf>
    <xf numFmtId="4" fontId="7" fillId="2" borderId="8" xfId="0" applyNumberFormat="1" applyFont="1" applyFill="1" applyBorder="1" applyAlignment="1">
      <alignment horizontal="left" vertical="center"/>
    </xf>
    <xf numFmtId="4" fontId="7" fillId="2" borderId="9" xfId="0" applyNumberFormat="1" applyFont="1" applyFill="1" applyBorder="1" applyAlignment="1">
      <alignment horizontal="left" vertical="center"/>
    </xf>
    <xf numFmtId="4" fontId="7" fillId="2" borderId="12" xfId="0" applyNumberFormat="1" applyFont="1" applyFill="1" applyBorder="1" applyAlignment="1">
      <alignment horizontal="left" vertical="center"/>
    </xf>
    <xf numFmtId="4" fontId="7" fillId="2" borderId="13" xfId="0" applyNumberFormat="1" applyFont="1" applyFill="1" applyBorder="1" applyAlignment="1">
      <alignment horizontal="left" vertical="center"/>
    </xf>
    <xf numFmtId="4" fontId="7" fillId="2" borderId="15" xfId="0" applyNumberFormat="1" applyFont="1" applyFill="1" applyBorder="1" applyAlignment="1">
      <alignment horizontal="left" vertical="center"/>
    </xf>
    <xf numFmtId="4" fontId="7" fillId="2" borderId="16" xfId="0" applyNumberFormat="1" applyFont="1" applyFill="1" applyBorder="1" applyAlignment="1">
      <alignment horizontal="left" vertical="center"/>
    </xf>
    <xf numFmtId="4" fontId="7" fillId="2" borderId="17" xfId="0" applyNumberFormat="1" applyFont="1" applyFill="1" applyBorder="1" applyAlignment="1">
      <alignment horizontal="left" vertical="center"/>
    </xf>
    <xf numFmtId="4" fontId="7" fillId="2" borderId="18" xfId="0" applyNumberFormat="1" applyFont="1" applyFill="1" applyBorder="1" applyAlignment="1">
      <alignment horizontal="left" vertical="center"/>
    </xf>
    <xf numFmtId="164" fontId="10" fillId="2" borderId="79" xfId="0" applyNumberFormat="1" applyFont="1" applyFill="1" applyBorder="1" applyAlignment="1">
      <alignment horizontal="center" vertical="center" wrapText="1"/>
    </xf>
    <xf numFmtId="164" fontId="10" fillId="2" borderId="80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68036</xdr:colOff>
      <xdr:row>1</xdr:row>
      <xdr:rowOff>108857</xdr:rowOff>
    </xdr:from>
    <xdr:to>
      <xdr:col>1</xdr:col>
      <xdr:colOff>958985</xdr:colOff>
      <xdr:row>2</xdr:row>
      <xdr:rowOff>517071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6" y="108857"/>
          <a:ext cx="1571306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"/>
  <sheetViews>
    <sheetView showGridLines="0" tabSelected="1" view="pageBreakPreview" topLeftCell="A12" zoomScale="70" zoomScaleNormal="70" zoomScaleSheetLayoutView="70" workbookViewId="0">
      <selection activeCell="B48" sqref="B48:K60"/>
    </sheetView>
  </sheetViews>
  <sheetFormatPr defaultRowHeight="12.75"/>
  <cols>
    <col min="1" max="1" width="10.140625" style="165" customWidth="1"/>
    <col min="2" max="2" width="16.5703125" style="166" customWidth="1"/>
    <col min="3" max="3" width="33.28515625" style="167" customWidth="1"/>
    <col min="4" max="4" width="6.140625" style="168" customWidth="1"/>
    <col min="5" max="5" width="18.42578125" style="168" customWidth="1"/>
    <col min="6" max="6" width="13.28515625" style="169" customWidth="1"/>
    <col min="7" max="7" width="14.42578125" style="170" customWidth="1"/>
    <col min="8" max="8" width="8.85546875" style="171" customWidth="1"/>
    <col min="9" max="9" width="14.140625" style="170" customWidth="1"/>
    <col min="10" max="10" width="8.7109375" style="171" customWidth="1"/>
    <col min="11" max="11" width="17" style="170" bestFit="1" customWidth="1"/>
    <col min="12" max="12" width="8.85546875" style="172" customWidth="1"/>
    <col min="13" max="13" width="17" style="170" bestFit="1" customWidth="1"/>
    <col min="14" max="14" width="8.85546875" style="172" customWidth="1"/>
    <col min="15" max="15" width="18" style="173" bestFit="1" customWidth="1"/>
    <col min="16" max="17" width="15.5703125" style="173" customWidth="1"/>
    <col min="18" max="18" width="17.140625" style="173" bestFit="1" customWidth="1"/>
    <col min="19" max="19" width="18" style="173" bestFit="1" customWidth="1"/>
    <col min="20" max="20" width="1.7109375" customWidth="1"/>
    <col min="21" max="22" width="14.42578125" bestFit="1" customWidth="1"/>
  </cols>
  <sheetData>
    <row r="1" spans="1:22" ht="13.5" thickBot="1">
      <c r="R1" s="203"/>
    </row>
    <row r="2" spans="1:22">
      <c r="A2" s="257"/>
      <c r="B2" s="258"/>
      <c r="C2" s="257" t="s">
        <v>21</v>
      </c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183"/>
      <c r="S2" s="282" t="s">
        <v>30</v>
      </c>
    </row>
    <row r="3" spans="1:22" ht="45.75" customHeight="1" thickBot="1">
      <c r="A3" s="259"/>
      <c r="B3" s="260"/>
      <c r="C3" s="262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182"/>
      <c r="S3" s="283"/>
    </row>
    <row r="4" spans="1:22" ht="13.5" thickBot="1">
      <c r="A4" s="1"/>
      <c r="B4" s="2"/>
      <c r="C4" s="3"/>
      <c r="D4" s="4"/>
      <c r="E4" s="4"/>
      <c r="F4" s="5"/>
      <c r="G4" s="6"/>
      <c r="H4" s="7"/>
      <c r="I4" s="6"/>
      <c r="J4" s="7"/>
      <c r="K4" s="6"/>
      <c r="L4" s="8"/>
      <c r="M4" s="6"/>
      <c r="N4" s="8"/>
      <c r="O4" s="9"/>
      <c r="P4" s="9"/>
      <c r="Q4" s="9"/>
      <c r="R4" s="9"/>
      <c r="S4" s="10"/>
    </row>
    <row r="5" spans="1:22" ht="27.95" customHeight="1">
      <c r="A5" s="264" t="s">
        <v>29</v>
      </c>
      <c r="B5" s="265"/>
      <c r="C5" s="265"/>
      <c r="D5" s="266"/>
      <c r="E5" s="11" t="s">
        <v>24</v>
      </c>
      <c r="F5" s="19"/>
      <c r="G5" s="12"/>
      <c r="H5" s="13"/>
      <c r="I5" s="14"/>
      <c r="J5" s="13"/>
      <c r="K5" s="15"/>
      <c r="L5" s="16"/>
      <c r="M5" s="15"/>
      <c r="N5" s="16"/>
      <c r="O5" s="13"/>
      <c r="P5" s="17"/>
      <c r="Q5" s="273" t="s">
        <v>25</v>
      </c>
      <c r="R5" s="274"/>
      <c r="S5" s="275"/>
    </row>
    <row r="6" spans="1:22" ht="27.95" customHeight="1">
      <c r="A6" s="267"/>
      <c r="B6" s="268"/>
      <c r="C6" s="268"/>
      <c r="D6" s="269"/>
      <c r="E6" s="18" t="s">
        <v>22</v>
      </c>
      <c r="F6" s="19"/>
      <c r="G6" s="19"/>
      <c r="H6" s="20"/>
      <c r="I6" s="21"/>
      <c r="J6" s="22"/>
      <c r="K6" s="21"/>
      <c r="L6" s="175"/>
      <c r="M6" s="23"/>
      <c r="N6" s="24"/>
      <c r="O6" s="25"/>
      <c r="P6" s="26"/>
      <c r="Q6" s="276" t="s">
        <v>26</v>
      </c>
      <c r="R6" s="277"/>
      <c r="S6" s="278"/>
    </row>
    <row r="7" spans="1:22" ht="27.95" customHeight="1" thickBot="1">
      <c r="A7" s="270"/>
      <c r="B7" s="271"/>
      <c r="C7" s="271"/>
      <c r="D7" s="272"/>
      <c r="E7" s="176" t="s">
        <v>23</v>
      </c>
      <c r="F7" s="177"/>
      <c r="G7" s="19"/>
      <c r="H7" s="27"/>
      <c r="I7" s="28"/>
      <c r="J7" s="27"/>
      <c r="K7" s="28"/>
      <c r="L7" s="29"/>
      <c r="M7" s="28"/>
      <c r="N7" s="29"/>
      <c r="O7" s="30"/>
      <c r="P7" s="31"/>
      <c r="Q7" s="279" t="s">
        <v>27</v>
      </c>
      <c r="R7" s="280"/>
      <c r="S7" s="281"/>
    </row>
    <row r="8" spans="1:22" ht="26.1" customHeight="1" thickBot="1">
      <c r="A8" s="244" t="s">
        <v>28</v>
      </c>
      <c r="B8" s="245"/>
      <c r="C8" s="245"/>
      <c r="D8" s="246"/>
      <c r="E8" s="32" t="s">
        <v>0</v>
      </c>
      <c r="F8" s="247" t="s">
        <v>1</v>
      </c>
      <c r="G8" s="248"/>
      <c r="H8" s="248"/>
      <c r="I8" s="248"/>
      <c r="J8" s="248"/>
      <c r="K8" s="248"/>
      <c r="L8" s="248"/>
      <c r="M8" s="248"/>
      <c r="N8" s="249"/>
      <c r="O8" s="250" t="s">
        <v>2</v>
      </c>
      <c r="P8" s="251"/>
      <c r="Q8" s="251"/>
      <c r="R8" s="251"/>
      <c r="S8" s="252"/>
    </row>
    <row r="9" spans="1:22" ht="26.1" customHeight="1" thickBot="1">
      <c r="A9" s="33" t="s">
        <v>3</v>
      </c>
      <c r="B9" s="253" t="s">
        <v>4</v>
      </c>
      <c r="C9" s="254"/>
      <c r="D9" s="34" t="s">
        <v>5</v>
      </c>
      <c r="E9" s="34" t="s">
        <v>6</v>
      </c>
      <c r="F9" s="35" t="s">
        <v>7</v>
      </c>
      <c r="G9" s="36" t="s">
        <v>8</v>
      </c>
      <c r="H9" s="37" t="s">
        <v>9</v>
      </c>
      <c r="I9" s="38" t="s">
        <v>10</v>
      </c>
      <c r="J9" s="39" t="s">
        <v>9</v>
      </c>
      <c r="K9" s="40" t="s">
        <v>11</v>
      </c>
      <c r="L9" s="41" t="s">
        <v>9</v>
      </c>
      <c r="M9" s="40" t="s">
        <v>12</v>
      </c>
      <c r="N9" s="41" t="s">
        <v>9</v>
      </c>
      <c r="O9" s="42" t="s">
        <v>7</v>
      </c>
      <c r="P9" s="43" t="s">
        <v>8</v>
      </c>
      <c r="Q9" s="43" t="s">
        <v>10</v>
      </c>
      <c r="R9" s="43" t="s">
        <v>11</v>
      </c>
      <c r="S9" s="44" t="s">
        <v>12</v>
      </c>
    </row>
    <row r="10" spans="1:22" s="49" customFormat="1" ht="21.75" customHeight="1">
      <c r="A10" s="192"/>
      <c r="B10" s="255"/>
      <c r="C10" s="256"/>
      <c r="D10" s="193"/>
      <c r="E10" s="194"/>
      <c r="F10" s="195"/>
      <c r="G10" s="196"/>
      <c r="H10" s="197"/>
      <c r="I10" s="188"/>
      <c r="J10" s="197"/>
      <c r="K10" s="196"/>
      <c r="L10" s="197"/>
      <c r="M10" s="196"/>
      <c r="N10" s="197"/>
      <c r="O10" s="186">
        <f>O12+O17+O20</f>
        <v>0</v>
      </c>
      <c r="P10" s="187">
        <f>P12+P17+P20</f>
        <v>0</v>
      </c>
      <c r="Q10" s="188"/>
      <c r="R10" s="189">
        <f>R12+R17+R20</f>
        <v>0</v>
      </c>
      <c r="S10" s="190">
        <f>S12+S17+S20</f>
        <v>0</v>
      </c>
    </row>
    <row r="11" spans="1:22" s="49" customFormat="1" ht="21.75" customHeight="1">
      <c r="A11" s="192"/>
      <c r="B11" s="238"/>
      <c r="C11" s="239"/>
      <c r="D11" s="193"/>
      <c r="E11" s="194"/>
      <c r="F11" s="195"/>
      <c r="G11" s="196"/>
      <c r="H11" s="197"/>
      <c r="I11" s="188"/>
      <c r="J11" s="197"/>
      <c r="K11" s="196"/>
      <c r="L11" s="197"/>
      <c r="M11" s="196"/>
      <c r="N11" s="197"/>
      <c r="O11" s="186"/>
      <c r="P11" s="187"/>
      <c r="Q11" s="188"/>
      <c r="R11" s="189"/>
      <c r="S11" s="190"/>
    </row>
    <row r="12" spans="1:22" s="49" customFormat="1" ht="21.75" customHeight="1">
      <c r="A12" s="209"/>
      <c r="B12" s="242"/>
      <c r="C12" s="243"/>
      <c r="D12" s="193"/>
      <c r="E12" s="194"/>
      <c r="F12" s="195"/>
      <c r="G12" s="196"/>
      <c r="H12" s="197"/>
      <c r="I12" s="188"/>
      <c r="J12" s="197"/>
      <c r="K12" s="196"/>
      <c r="L12" s="197"/>
      <c r="M12" s="196"/>
      <c r="N12" s="197"/>
      <c r="O12" s="186">
        <f>SUM(O13:O15)</f>
        <v>0</v>
      </c>
      <c r="P12" s="187">
        <f>SUM(P13:P15)</f>
        <v>0</v>
      </c>
      <c r="Q12" s="188"/>
      <c r="R12" s="189">
        <f>SUM(R13:R15)</f>
        <v>0</v>
      </c>
      <c r="S12" s="190">
        <f>SUM(S13:S15)</f>
        <v>0</v>
      </c>
    </row>
    <row r="13" spans="1:22" s="49" customFormat="1" ht="21.75" customHeight="1">
      <c r="A13" s="210"/>
      <c r="B13" s="240"/>
      <c r="C13" s="241"/>
      <c r="D13" s="193"/>
      <c r="E13" s="194"/>
      <c r="F13" s="198"/>
      <c r="G13" s="196">
        <v>0</v>
      </c>
      <c r="H13" s="197" t="e">
        <f>G13/F13</f>
        <v>#DIV/0!</v>
      </c>
      <c r="I13" s="188"/>
      <c r="J13" s="197" t="e">
        <f t="shared" ref="J13:J21" si="0">I13/F13</f>
        <v>#DIV/0!</v>
      </c>
      <c r="K13" s="196">
        <f t="shared" ref="K13:K21" si="1">I13+G13</f>
        <v>0</v>
      </c>
      <c r="L13" s="197" t="e">
        <f t="shared" ref="L13:L21" si="2">K13/F13</f>
        <v>#DIV/0!</v>
      </c>
      <c r="M13" s="196">
        <f t="shared" ref="M13:M21" si="3">F13-K13</f>
        <v>0</v>
      </c>
      <c r="N13" s="197" t="e">
        <f t="shared" ref="N13:N21" si="4">M13/F13</f>
        <v>#DIV/0!</v>
      </c>
      <c r="O13" s="199">
        <f t="shared" ref="O13:O21" si="5">F13*E13</f>
        <v>0</v>
      </c>
      <c r="P13" s="200">
        <f t="shared" ref="P13:P21" si="6">G13*E13</f>
        <v>0</v>
      </c>
      <c r="Q13" s="188">
        <f t="shared" ref="Q13:Q21" si="7">I13*E13</f>
        <v>0</v>
      </c>
      <c r="R13" s="201">
        <f t="shared" ref="R13:R21" si="8">P13+Q13</f>
        <v>0</v>
      </c>
      <c r="S13" s="202">
        <f t="shared" ref="S13:S21" si="9">O13-R13</f>
        <v>0</v>
      </c>
      <c r="T13" s="50"/>
      <c r="U13" s="51"/>
      <c r="V13" s="52"/>
    </row>
    <row r="14" spans="1:22" s="49" customFormat="1" ht="21.75" customHeight="1">
      <c r="A14" s="210"/>
      <c r="B14" s="240"/>
      <c r="C14" s="241"/>
      <c r="D14" s="193"/>
      <c r="E14" s="194"/>
      <c r="F14" s="198"/>
      <c r="G14" s="196">
        <v>0</v>
      </c>
      <c r="H14" s="197" t="e">
        <f t="shared" ref="H13:H21" si="10">G14/F14</f>
        <v>#DIV/0!</v>
      </c>
      <c r="I14" s="188"/>
      <c r="J14" s="197" t="e">
        <f t="shared" si="0"/>
        <v>#DIV/0!</v>
      </c>
      <c r="K14" s="196">
        <f t="shared" si="1"/>
        <v>0</v>
      </c>
      <c r="L14" s="197" t="e">
        <f t="shared" si="2"/>
        <v>#DIV/0!</v>
      </c>
      <c r="M14" s="196">
        <f t="shared" si="3"/>
        <v>0</v>
      </c>
      <c r="N14" s="197" t="e">
        <f t="shared" si="4"/>
        <v>#DIV/0!</v>
      </c>
      <c r="O14" s="199">
        <f t="shared" si="5"/>
        <v>0</v>
      </c>
      <c r="P14" s="200">
        <f t="shared" si="6"/>
        <v>0</v>
      </c>
      <c r="Q14" s="188">
        <f t="shared" si="7"/>
        <v>0</v>
      </c>
      <c r="R14" s="201">
        <f t="shared" si="8"/>
        <v>0</v>
      </c>
      <c r="S14" s="202">
        <f t="shared" si="9"/>
        <v>0</v>
      </c>
      <c r="T14" s="50"/>
      <c r="U14" s="51"/>
      <c r="V14" s="52"/>
    </row>
    <row r="15" spans="1:22" s="49" customFormat="1" ht="21.75" customHeight="1">
      <c r="A15" s="210"/>
      <c r="B15" s="238"/>
      <c r="C15" s="239"/>
      <c r="D15" s="193"/>
      <c r="E15" s="194"/>
      <c r="F15" s="198"/>
      <c r="G15" s="196">
        <v>0</v>
      </c>
      <c r="H15" s="197" t="e">
        <f t="shared" si="10"/>
        <v>#DIV/0!</v>
      </c>
      <c r="I15" s="188"/>
      <c r="J15" s="197" t="e">
        <f t="shared" si="0"/>
        <v>#DIV/0!</v>
      </c>
      <c r="K15" s="196">
        <f t="shared" si="1"/>
        <v>0</v>
      </c>
      <c r="L15" s="197" t="e">
        <f t="shared" si="2"/>
        <v>#DIV/0!</v>
      </c>
      <c r="M15" s="196">
        <f t="shared" si="3"/>
        <v>0</v>
      </c>
      <c r="N15" s="197" t="e">
        <f t="shared" si="4"/>
        <v>#DIV/0!</v>
      </c>
      <c r="O15" s="199">
        <f t="shared" si="5"/>
        <v>0</v>
      </c>
      <c r="P15" s="200">
        <f t="shared" si="6"/>
        <v>0</v>
      </c>
      <c r="Q15" s="188">
        <f t="shared" si="7"/>
        <v>0</v>
      </c>
      <c r="R15" s="201">
        <f t="shared" si="8"/>
        <v>0</v>
      </c>
      <c r="S15" s="202">
        <f t="shared" si="9"/>
        <v>0</v>
      </c>
      <c r="T15" s="50"/>
      <c r="U15" s="51"/>
      <c r="V15" s="52"/>
    </row>
    <row r="16" spans="1:22" s="49" customFormat="1" ht="21.75" customHeight="1">
      <c r="A16" s="210"/>
      <c r="B16" s="238"/>
      <c r="C16" s="239"/>
      <c r="D16" s="204"/>
      <c r="E16" s="194"/>
      <c r="F16" s="198"/>
      <c r="G16" s="196"/>
      <c r="H16" s="197"/>
      <c r="I16" s="188"/>
      <c r="J16" s="197"/>
      <c r="K16" s="196"/>
      <c r="L16" s="197"/>
      <c r="M16" s="196"/>
      <c r="N16" s="197"/>
      <c r="O16" s="199"/>
      <c r="P16" s="200"/>
      <c r="Q16" s="188"/>
      <c r="R16" s="201"/>
      <c r="S16" s="202"/>
      <c r="T16" s="50"/>
      <c r="U16" s="51"/>
      <c r="V16" s="52"/>
    </row>
    <row r="17" spans="1:22" s="49" customFormat="1" ht="21.75" customHeight="1">
      <c r="A17" s="209"/>
      <c r="B17" s="242"/>
      <c r="C17" s="243"/>
      <c r="D17" s="193"/>
      <c r="E17" s="194"/>
      <c r="F17" s="195"/>
      <c r="G17" s="196"/>
      <c r="H17" s="197"/>
      <c r="I17" s="188"/>
      <c r="J17" s="197"/>
      <c r="K17" s="196"/>
      <c r="L17" s="197"/>
      <c r="M17" s="196"/>
      <c r="N17" s="197"/>
      <c r="O17" s="186">
        <f>SUM(O18:O19)</f>
        <v>0</v>
      </c>
      <c r="P17" s="187">
        <f>SUM(P18:P19)</f>
        <v>0</v>
      </c>
      <c r="Q17" s="188"/>
      <c r="R17" s="189">
        <f>SUM(R18:R19)</f>
        <v>0</v>
      </c>
      <c r="S17" s="190">
        <f>SUM(S18:S19)</f>
        <v>0</v>
      </c>
    </row>
    <row r="18" spans="1:22" s="49" customFormat="1" ht="21.75" customHeight="1">
      <c r="A18" s="210"/>
      <c r="B18" s="240"/>
      <c r="C18" s="241"/>
      <c r="D18" s="193"/>
      <c r="E18" s="194"/>
      <c r="F18" s="198"/>
      <c r="G18" s="196">
        <v>0</v>
      </c>
      <c r="H18" s="197" t="e">
        <f t="shared" si="10"/>
        <v>#DIV/0!</v>
      </c>
      <c r="I18" s="188"/>
      <c r="J18" s="197" t="e">
        <f t="shared" si="0"/>
        <v>#DIV/0!</v>
      </c>
      <c r="K18" s="196">
        <f t="shared" si="1"/>
        <v>0</v>
      </c>
      <c r="L18" s="197" t="e">
        <f t="shared" si="2"/>
        <v>#DIV/0!</v>
      </c>
      <c r="M18" s="196">
        <f t="shared" si="3"/>
        <v>0</v>
      </c>
      <c r="N18" s="197" t="e">
        <f t="shared" si="4"/>
        <v>#DIV/0!</v>
      </c>
      <c r="O18" s="199">
        <f t="shared" si="5"/>
        <v>0</v>
      </c>
      <c r="P18" s="200">
        <f t="shared" si="6"/>
        <v>0</v>
      </c>
      <c r="Q18" s="188">
        <f t="shared" si="7"/>
        <v>0</v>
      </c>
      <c r="R18" s="201">
        <f t="shared" si="8"/>
        <v>0</v>
      </c>
      <c r="S18" s="202">
        <f t="shared" si="9"/>
        <v>0</v>
      </c>
      <c r="T18" s="50"/>
      <c r="U18" s="51"/>
      <c r="V18" s="52"/>
    </row>
    <row r="19" spans="1:22" s="49" customFormat="1" ht="21.75" customHeight="1">
      <c r="A19" s="210"/>
      <c r="B19" s="238"/>
      <c r="C19" s="239"/>
      <c r="D19" s="193"/>
      <c r="E19" s="194"/>
      <c r="F19" s="198"/>
      <c r="G19" s="196"/>
      <c r="H19" s="197"/>
      <c r="I19" s="188"/>
      <c r="J19" s="197"/>
      <c r="K19" s="196"/>
      <c r="L19" s="197"/>
      <c r="M19" s="196"/>
      <c r="N19" s="197"/>
      <c r="O19" s="199"/>
      <c r="P19" s="200"/>
      <c r="Q19" s="188"/>
      <c r="R19" s="201"/>
      <c r="S19" s="202"/>
      <c r="T19" s="50"/>
      <c r="U19" s="51"/>
      <c r="V19" s="52"/>
    </row>
    <row r="20" spans="1:22" s="181" customFormat="1" ht="21.75" customHeight="1">
      <c r="A20" s="209"/>
      <c r="B20" s="242"/>
      <c r="C20" s="243"/>
      <c r="D20" s="205"/>
      <c r="E20" s="206"/>
      <c r="F20" s="195"/>
      <c r="G20" s="207"/>
      <c r="H20" s="197"/>
      <c r="I20" s="208"/>
      <c r="J20" s="197"/>
      <c r="K20" s="207"/>
      <c r="L20" s="197"/>
      <c r="M20" s="207"/>
      <c r="N20" s="197"/>
      <c r="O20" s="186">
        <f>SUM(O21:O22)</f>
        <v>0</v>
      </c>
      <c r="P20" s="187">
        <f>SUM(P21:P22)</f>
        <v>0</v>
      </c>
      <c r="Q20" s="208"/>
      <c r="R20" s="189">
        <f>SUM(R21:R22)</f>
        <v>0</v>
      </c>
      <c r="S20" s="190">
        <f>SUM(S21:S22)</f>
        <v>0</v>
      </c>
      <c r="T20" s="178"/>
      <c r="U20" s="179"/>
      <c r="V20" s="180"/>
    </row>
    <row r="21" spans="1:22" s="49" customFormat="1" ht="21.75" customHeight="1">
      <c r="A21" s="210"/>
      <c r="B21" s="238"/>
      <c r="C21" s="239"/>
      <c r="D21" s="193"/>
      <c r="E21" s="194"/>
      <c r="F21" s="198"/>
      <c r="G21" s="196">
        <v>0</v>
      </c>
      <c r="H21" s="197" t="e">
        <f t="shared" si="10"/>
        <v>#DIV/0!</v>
      </c>
      <c r="I21" s="188"/>
      <c r="J21" s="197" t="e">
        <f t="shared" si="0"/>
        <v>#DIV/0!</v>
      </c>
      <c r="K21" s="196">
        <f t="shared" si="1"/>
        <v>0</v>
      </c>
      <c r="L21" s="197" t="e">
        <f t="shared" si="2"/>
        <v>#DIV/0!</v>
      </c>
      <c r="M21" s="196">
        <f t="shared" si="3"/>
        <v>0</v>
      </c>
      <c r="N21" s="197" t="e">
        <f t="shared" si="4"/>
        <v>#DIV/0!</v>
      </c>
      <c r="O21" s="199">
        <f t="shared" si="5"/>
        <v>0</v>
      </c>
      <c r="P21" s="200">
        <f t="shared" si="6"/>
        <v>0</v>
      </c>
      <c r="Q21" s="188">
        <f t="shared" si="7"/>
        <v>0</v>
      </c>
      <c r="R21" s="201">
        <f t="shared" si="8"/>
        <v>0</v>
      </c>
      <c r="S21" s="202">
        <f t="shared" si="9"/>
        <v>0</v>
      </c>
      <c r="T21" s="50"/>
      <c r="U21" s="51"/>
      <c r="V21" s="52"/>
    </row>
    <row r="22" spans="1:22" s="49" customFormat="1" ht="21.75" customHeight="1">
      <c r="A22" s="210"/>
      <c r="B22" s="240"/>
      <c r="C22" s="241"/>
      <c r="D22" s="193"/>
      <c r="E22" s="194"/>
      <c r="F22" s="198"/>
      <c r="G22" s="196"/>
      <c r="H22" s="197"/>
      <c r="I22" s="188"/>
      <c r="J22" s="197"/>
      <c r="K22" s="196"/>
      <c r="L22" s="197"/>
      <c r="M22" s="196"/>
      <c r="N22" s="197"/>
      <c r="O22" s="199"/>
      <c r="P22" s="200"/>
      <c r="Q22" s="188"/>
      <c r="R22" s="201"/>
      <c r="S22" s="202"/>
      <c r="T22" s="50"/>
      <c r="U22" s="51"/>
      <c r="V22" s="52"/>
    </row>
    <row r="23" spans="1:22" s="49" customFormat="1" ht="21.75" customHeight="1">
      <c r="A23" s="210"/>
      <c r="B23" s="238"/>
      <c r="C23" s="239"/>
      <c r="D23" s="193"/>
      <c r="E23" s="194"/>
      <c r="F23" s="198"/>
      <c r="G23" s="196"/>
      <c r="H23" s="197"/>
      <c r="I23" s="188"/>
      <c r="J23" s="197"/>
      <c r="K23" s="196"/>
      <c r="L23" s="197"/>
      <c r="M23" s="196"/>
      <c r="N23" s="197"/>
      <c r="O23" s="199"/>
      <c r="P23" s="200"/>
      <c r="Q23" s="188"/>
      <c r="R23" s="201"/>
      <c r="S23" s="202"/>
      <c r="T23" s="50"/>
      <c r="U23" s="51"/>
      <c r="V23" s="52"/>
    </row>
    <row r="24" spans="1:22" s="49" customFormat="1" ht="21.75" customHeight="1">
      <c r="A24" s="210"/>
      <c r="B24" s="238"/>
      <c r="C24" s="239"/>
      <c r="D24" s="193"/>
      <c r="E24" s="194"/>
      <c r="F24" s="198"/>
      <c r="G24" s="196"/>
      <c r="H24" s="197"/>
      <c r="I24" s="188"/>
      <c r="J24" s="197"/>
      <c r="K24" s="196"/>
      <c r="L24" s="197"/>
      <c r="M24" s="196"/>
      <c r="N24" s="197"/>
      <c r="O24" s="199"/>
      <c r="P24" s="200"/>
      <c r="Q24" s="188"/>
      <c r="R24" s="201"/>
      <c r="S24" s="202"/>
      <c r="T24" s="50"/>
      <c r="U24" s="51"/>
      <c r="V24" s="52"/>
    </row>
    <row r="25" spans="1:22" s="49" customFormat="1" ht="21.75" customHeight="1">
      <c r="A25" s="211"/>
      <c r="B25" s="228"/>
      <c r="C25" s="229"/>
      <c r="D25" s="45"/>
      <c r="E25" s="46"/>
      <c r="F25" s="53"/>
      <c r="G25" s="47"/>
      <c r="H25" s="197"/>
      <c r="I25" s="48"/>
      <c r="J25" s="197"/>
      <c r="K25" s="47"/>
      <c r="L25" s="197"/>
      <c r="M25" s="47"/>
      <c r="N25" s="197"/>
      <c r="O25" s="54"/>
      <c r="P25" s="55"/>
      <c r="Q25" s="188"/>
      <c r="R25" s="56"/>
      <c r="S25" s="57"/>
      <c r="T25" s="50"/>
      <c r="U25" s="51"/>
      <c r="V25" s="52"/>
    </row>
    <row r="26" spans="1:22" s="49" customFormat="1" ht="21.75" customHeight="1">
      <c r="A26" s="211"/>
      <c r="B26" s="228"/>
      <c r="C26" s="229"/>
      <c r="D26" s="45"/>
      <c r="E26" s="46"/>
      <c r="F26" s="53"/>
      <c r="G26" s="47"/>
      <c r="H26" s="197"/>
      <c r="I26" s="48"/>
      <c r="J26" s="197"/>
      <c r="K26" s="47"/>
      <c r="L26" s="197"/>
      <c r="M26" s="47"/>
      <c r="N26" s="197"/>
      <c r="O26" s="54"/>
      <c r="P26" s="55"/>
      <c r="Q26" s="188"/>
      <c r="R26" s="56"/>
      <c r="S26" s="57"/>
      <c r="T26" s="50"/>
      <c r="U26" s="51"/>
      <c r="V26" s="52"/>
    </row>
    <row r="27" spans="1:22" s="67" customFormat="1" ht="21.75" customHeight="1" thickBot="1">
      <c r="A27" s="58"/>
      <c r="B27" s="230"/>
      <c r="C27" s="231"/>
      <c r="D27" s="59"/>
      <c r="E27" s="60"/>
      <c r="F27" s="61"/>
      <c r="G27" s="62"/>
      <c r="H27" s="197"/>
      <c r="I27" s="63"/>
      <c r="J27" s="197"/>
      <c r="K27" s="62"/>
      <c r="L27" s="197"/>
      <c r="M27" s="62"/>
      <c r="N27" s="197"/>
      <c r="O27" s="64"/>
      <c r="P27" s="65"/>
      <c r="Q27" s="191"/>
      <c r="R27" s="65"/>
      <c r="S27" s="66"/>
    </row>
    <row r="28" spans="1:22" s="67" customFormat="1" ht="26.1" customHeight="1">
      <c r="A28" s="68"/>
      <c r="B28" s="232" t="s">
        <v>13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4"/>
      <c r="O28" s="184">
        <f>O10</f>
        <v>0</v>
      </c>
      <c r="P28" s="185">
        <f>P10</f>
        <v>0</v>
      </c>
      <c r="Q28" s="185">
        <f>SUM(Q10:Q27)</f>
        <v>0</v>
      </c>
      <c r="R28" s="185">
        <f>R10</f>
        <v>0</v>
      </c>
      <c r="S28" s="185">
        <f>S10</f>
        <v>0</v>
      </c>
    </row>
    <row r="29" spans="1:22" s="67" customFormat="1" ht="26.1" customHeight="1">
      <c r="A29" s="69"/>
      <c r="B29" s="235" t="s">
        <v>14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7"/>
      <c r="O29" s="70">
        <v>0</v>
      </c>
      <c r="P29" s="71"/>
      <c r="Q29" s="71"/>
      <c r="R29" s="71"/>
      <c r="S29" s="72"/>
    </row>
    <row r="30" spans="1:22" s="67" customFormat="1" ht="26.1" customHeight="1">
      <c r="A30" s="69"/>
      <c r="B30" s="214"/>
      <c r="C30" s="215"/>
      <c r="D30" s="73"/>
      <c r="E30" s="73"/>
      <c r="F30" s="74"/>
      <c r="G30" s="74"/>
      <c r="H30" s="73"/>
      <c r="I30" s="74"/>
      <c r="J30" s="75"/>
      <c r="K30" s="76"/>
      <c r="L30" s="77"/>
      <c r="M30" s="76" t="s">
        <v>15</v>
      </c>
      <c r="N30" s="78" t="s">
        <v>9</v>
      </c>
      <c r="O30" s="70">
        <v>0</v>
      </c>
      <c r="P30" s="79"/>
      <c r="Q30" s="79"/>
      <c r="R30" s="79"/>
      <c r="S30" s="80"/>
    </row>
    <row r="31" spans="1:22" s="67" customFormat="1" ht="26.1" customHeight="1">
      <c r="A31" s="69"/>
      <c r="B31" s="214"/>
      <c r="C31" s="215"/>
      <c r="D31" s="81"/>
      <c r="E31" s="81"/>
      <c r="F31" s="82"/>
      <c r="G31" s="82"/>
      <c r="H31" s="81"/>
      <c r="I31" s="82"/>
      <c r="J31" s="81"/>
      <c r="K31" s="76"/>
      <c r="L31" s="83"/>
      <c r="M31" s="76" t="s">
        <v>16</v>
      </c>
      <c r="N31" s="84" t="s">
        <v>9</v>
      </c>
      <c r="O31" s="70">
        <v>0</v>
      </c>
      <c r="P31" s="71"/>
      <c r="Q31" s="71"/>
      <c r="R31" s="71"/>
      <c r="S31" s="72"/>
    </row>
    <row r="32" spans="1:22" s="67" customFormat="1" ht="26.1" customHeight="1">
      <c r="A32" s="85"/>
      <c r="B32" s="214"/>
      <c r="C32" s="215"/>
      <c r="D32" s="86"/>
      <c r="E32" s="86"/>
      <c r="F32" s="87"/>
      <c r="G32" s="87"/>
      <c r="H32" s="86"/>
      <c r="I32" s="87"/>
      <c r="J32" s="216" t="s">
        <v>17</v>
      </c>
      <c r="K32" s="216"/>
      <c r="L32" s="216"/>
      <c r="M32" s="216"/>
      <c r="N32" s="88" t="s">
        <v>9</v>
      </c>
      <c r="O32" s="70">
        <v>0</v>
      </c>
      <c r="P32" s="71"/>
      <c r="Q32" s="71"/>
      <c r="R32" s="71"/>
      <c r="S32" s="89"/>
    </row>
    <row r="33" spans="1:23" s="67" customFormat="1" ht="26.1" customHeight="1" thickBot="1">
      <c r="A33" s="85"/>
      <c r="B33" s="217"/>
      <c r="C33" s="218"/>
      <c r="D33" s="90"/>
      <c r="E33" s="90"/>
      <c r="F33" s="91"/>
      <c r="G33" s="91"/>
      <c r="H33" s="90"/>
      <c r="I33" s="91"/>
      <c r="J33" s="92"/>
      <c r="K33" s="93"/>
      <c r="L33" s="94"/>
      <c r="M33" s="93" t="s">
        <v>18</v>
      </c>
      <c r="N33" s="95" t="s">
        <v>9</v>
      </c>
      <c r="O33" s="96">
        <v>0</v>
      </c>
      <c r="P33" s="97"/>
      <c r="Q33" s="97"/>
      <c r="R33" s="97"/>
      <c r="S33" s="98"/>
    </row>
    <row r="34" spans="1:23" s="67" customFormat="1" ht="26.1" customHeight="1">
      <c r="A34" s="99"/>
      <c r="B34" s="100"/>
      <c r="C34" s="101"/>
      <c r="D34" s="102"/>
      <c r="E34" s="102"/>
      <c r="F34" s="103"/>
      <c r="G34" s="103"/>
      <c r="H34" s="104"/>
      <c r="I34" s="103"/>
      <c r="J34" s="104"/>
      <c r="K34" s="103"/>
      <c r="L34" s="105"/>
      <c r="M34" s="103"/>
      <c r="N34" s="106"/>
      <c r="O34" s="107"/>
      <c r="P34" s="108"/>
      <c r="Q34" s="109"/>
      <c r="R34" s="108"/>
      <c r="S34" s="110"/>
    </row>
    <row r="35" spans="1:23" s="67" customFormat="1" ht="26.1" customHeight="1">
      <c r="A35" s="111"/>
      <c r="D35" s="112"/>
      <c r="E35" s="112"/>
      <c r="F35" s="113"/>
      <c r="G35" s="113"/>
      <c r="H35" s="114"/>
      <c r="I35" s="113"/>
      <c r="J35" s="114"/>
      <c r="K35" s="219" t="s">
        <v>19</v>
      </c>
      <c r="L35" s="219"/>
      <c r="M35" s="219"/>
      <c r="N35" s="220"/>
      <c r="P35" s="115">
        <f>SUM(Q28-O29-O30-O31-O32-O33)</f>
        <v>0</v>
      </c>
      <c r="Q35" s="115"/>
      <c r="R35" s="115"/>
      <c r="S35" s="116"/>
    </row>
    <row r="36" spans="1:23" s="67" customFormat="1" ht="26.1" customHeight="1" thickBot="1">
      <c r="A36" s="117"/>
      <c r="B36" s="118"/>
      <c r="C36" s="119"/>
      <c r="D36" s="120"/>
      <c r="E36" s="120"/>
      <c r="F36" s="121"/>
      <c r="G36" s="121"/>
      <c r="H36" s="122"/>
      <c r="I36" s="121"/>
      <c r="J36" s="122"/>
      <c r="K36" s="121"/>
      <c r="L36" s="123"/>
      <c r="M36" s="121"/>
      <c r="N36" s="124"/>
      <c r="O36" s="125"/>
      <c r="P36" s="126"/>
      <c r="Q36" s="127"/>
      <c r="R36" s="126"/>
      <c r="S36" s="128"/>
    </row>
    <row r="37" spans="1:23" s="67" customFormat="1" ht="26.1" customHeight="1">
      <c r="A37" s="129"/>
      <c r="B37" s="130"/>
      <c r="C37" s="131"/>
      <c r="D37" s="132"/>
      <c r="E37" s="132"/>
      <c r="F37" s="133"/>
      <c r="G37" s="133"/>
      <c r="H37" s="134"/>
      <c r="I37" s="133"/>
      <c r="J37" s="134"/>
      <c r="K37" s="133"/>
      <c r="L37" s="135"/>
      <c r="M37" s="133"/>
      <c r="N37" s="135"/>
      <c r="O37" s="225"/>
      <c r="P37" s="226"/>
      <c r="Q37" s="226"/>
      <c r="R37" s="226"/>
      <c r="S37" s="227"/>
    </row>
    <row r="38" spans="1:23" s="67" customFormat="1" ht="26.1" customHeight="1">
      <c r="A38" s="129"/>
      <c r="B38" s="130"/>
      <c r="C38" s="131"/>
      <c r="D38" s="136"/>
      <c r="E38" s="136"/>
      <c r="F38" s="137"/>
      <c r="G38" s="137"/>
      <c r="H38" s="138"/>
      <c r="I38" s="137"/>
      <c r="J38" s="138"/>
      <c r="K38" s="137"/>
      <c r="L38" s="139"/>
      <c r="M38" s="137"/>
      <c r="N38" s="139"/>
      <c r="O38" s="140"/>
      <c r="P38" s="141"/>
      <c r="Q38" s="141"/>
      <c r="R38" s="141"/>
      <c r="S38" s="142"/>
    </row>
    <row r="39" spans="1:23" s="67" customFormat="1" ht="26.1" customHeight="1">
      <c r="A39" s="129"/>
      <c r="B39" s="131"/>
      <c r="C39" s="131"/>
      <c r="D39" s="136"/>
      <c r="E39" s="136"/>
      <c r="F39" s="137"/>
      <c r="G39" s="137"/>
      <c r="H39" s="143"/>
      <c r="I39" s="221"/>
      <c r="J39" s="221"/>
      <c r="K39" s="221"/>
      <c r="L39" s="221"/>
      <c r="M39" s="221"/>
      <c r="N39" s="221"/>
      <c r="O39" s="140"/>
      <c r="P39" s="141"/>
      <c r="Q39" s="141"/>
      <c r="R39" s="141"/>
      <c r="S39" s="142"/>
    </row>
    <row r="40" spans="1:23" s="67" customFormat="1" ht="26.1" customHeight="1">
      <c r="A40" s="144"/>
      <c r="B40" s="145"/>
      <c r="C40" s="146"/>
      <c r="D40" s="147"/>
      <c r="E40" s="148"/>
      <c r="F40" s="149"/>
      <c r="G40" s="149"/>
      <c r="H40" s="150"/>
      <c r="I40" s="149"/>
      <c r="J40" s="147"/>
      <c r="K40" s="149"/>
      <c r="L40" s="147"/>
      <c r="M40" s="149"/>
      <c r="N40" s="151"/>
      <c r="O40" s="152"/>
      <c r="P40" s="153"/>
      <c r="Q40" s="153"/>
      <c r="R40" s="153"/>
      <c r="S40" s="154"/>
    </row>
    <row r="41" spans="1:23" s="67" customFormat="1" ht="26.1" customHeight="1">
      <c r="A41" s="129"/>
      <c r="B41" s="212"/>
      <c r="C41" s="212"/>
      <c r="D41" s="136"/>
      <c r="E41" s="222"/>
      <c r="F41" s="222"/>
      <c r="G41" s="222"/>
      <c r="H41" s="138"/>
      <c r="I41" s="223"/>
      <c r="J41" s="224"/>
      <c r="K41" s="224"/>
      <c r="L41" s="224"/>
      <c r="M41" s="224"/>
      <c r="N41" s="223"/>
      <c r="O41" s="140"/>
      <c r="P41" s="212"/>
      <c r="Q41" s="212"/>
      <c r="R41" s="212"/>
      <c r="S41" s="154"/>
    </row>
    <row r="42" spans="1:23" s="67" customFormat="1" ht="26.1" customHeight="1" thickBot="1">
      <c r="A42" s="155" t="s">
        <v>20</v>
      </c>
      <c r="B42" s="156"/>
      <c r="C42" s="157"/>
      <c r="D42" s="158"/>
      <c r="E42" s="158"/>
      <c r="F42" s="159"/>
      <c r="G42" s="159"/>
      <c r="H42" s="160"/>
      <c r="I42" s="159"/>
      <c r="J42" s="160"/>
      <c r="K42" s="159"/>
      <c r="L42" s="161"/>
      <c r="M42" s="159"/>
      <c r="N42" s="161"/>
      <c r="O42" s="162"/>
      <c r="P42" s="163"/>
      <c r="Q42" s="163"/>
      <c r="R42" s="163"/>
      <c r="S42" s="164"/>
    </row>
    <row r="45" spans="1:23">
      <c r="S45" s="174"/>
    </row>
    <row r="48" spans="1:23" s="172" customFormat="1">
      <c r="A48" s="165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M48" s="170"/>
      <c r="O48" s="173"/>
      <c r="P48" s="173"/>
      <c r="Q48" s="173"/>
      <c r="R48" s="173"/>
      <c r="S48" s="173"/>
      <c r="T48"/>
      <c r="U48"/>
      <c r="V48"/>
      <c r="W48"/>
    </row>
    <row r="49" spans="1:23" s="172" customFormat="1">
      <c r="A49" s="165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M49" s="170"/>
      <c r="O49" s="173"/>
      <c r="P49" s="173"/>
      <c r="Q49" s="173"/>
      <c r="R49" s="173"/>
      <c r="S49" s="173"/>
      <c r="T49"/>
      <c r="U49"/>
      <c r="V49"/>
      <c r="W49"/>
    </row>
    <row r="50" spans="1:23" s="172" customFormat="1">
      <c r="A50" s="165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M50" s="170"/>
      <c r="O50" s="173"/>
      <c r="P50" s="173"/>
      <c r="Q50" s="173"/>
      <c r="R50" s="173"/>
      <c r="S50" s="173"/>
      <c r="T50"/>
      <c r="U50"/>
      <c r="V50"/>
      <c r="W50"/>
    </row>
    <row r="51" spans="1:23" s="172" customFormat="1">
      <c r="A51" s="165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M51" s="170"/>
      <c r="O51" s="173"/>
      <c r="P51" s="173"/>
      <c r="Q51" s="173"/>
      <c r="R51" s="173"/>
      <c r="S51" s="173"/>
      <c r="T51"/>
      <c r="U51"/>
      <c r="V51"/>
      <c r="W51"/>
    </row>
    <row r="52" spans="1:23" s="172" customFormat="1">
      <c r="A52" s="165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M52" s="170"/>
      <c r="O52" s="173"/>
      <c r="P52" s="173"/>
      <c r="Q52" s="173"/>
      <c r="R52" s="173"/>
      <c r="S52" s="173"/>
      <c r="T52"/>
      <c r="U52"/>
      <c r="V52"/>
      <c r="W52"/>
    </row>
    <row r="53" spans="1:23" s="172" customFormat="1">
      <c r="A53" s="165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M53" s="170"/>
      <c r="O53" s="173"/>
      <c r="P53" s="173"/>
      <c r="Q53" s="173"/>
      <c r="R53" s="173"/>
      <c r="S53" s="173"/>
      <c r="T53"/>
      <c r="U53"/>
      <c r="V53"/>
      <c r="W53"/>
    </row>
    <row r="54" spans="1:23" s="172" customFormat="1">
      <c r="A54" s="165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M54" s="170"/>
      <c r="O54" s="173"/>
      <c r="P54" s="173"/>
      <c r="Q54" s="173"/>
      <c r="R54" s="173"/>
      <c r="S54" s="173"/>
      <c r="T54"/>
      <c r="U54"/>
      <c r="V54"/>
      <c r="W54"/>
    </row>
    <row r="55" spans="1:23" s="172" customFormat="1">
      <c r="A55" s="165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M55" s="170"/>
      <c r="O55" s="173"/>
      <c r="P55" s="173"/>
      <c r="Q55" s="173"/>
      <c r="R55" s="173"/>
      <c r="S55" s="173"/>
      <c r="T55"/>
      <c r="U55"/>
      <c r="V55"/>
      <c r="W55"/>
    </row>
    <row r="56" spans="1:23" s="172" customFormat="1">
      <c r="A56" s="165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M56" s="170"/>
      <c r="O56" s="173"/>
      <c r="P56" s="173"/>
      <c r="Q56" s="173"/>
      <c r="R56" s="173"/>
      <c r="S56" s="173"/>
      <c r="T56"/>
      <c r="U56"/>
      <c r="V56"/>
      <c r="W56"/>
    </row>
    <row r="57" spans="1:23" s="172" customFormat="1">
      <c r="A57" s="165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M57" s="170"/>
      <c r="O57" s="173"/>
      <c r="P57" s="173"/>
      <c r="Q57" s="173"/>
      <c r="R57" s="173"/>
      <c r="S57" s="173"/>
      <c r="T57"/>
      <c r="U57"/>
      <c r="V57"/>
      <c r="W57"/>
    </row>
    <row r="58" spans="1:23" s="172" customFormat="1">
      <c r="A58" s="165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M58" s="170"/>
      <c r="O58" s="173"/>
      <c r="P58" s="173"/>
      <c r="Q58" s="173"/>
      <c r="R58" s="173"/>
      <c r="S58" s="173"/>
      <c r="T58"/>
      <c r="U58"/>
      <c r="V58"/>
      <c r="W58"/>
    </row>
    <row r="59" spans="1:23" s="172" customFormat="1">
      <c r="A59" s="165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M59" s="170"/>
      <c r="O59" s="173"/>
      <c r="P59" s="173"/>
      <c r="Q59" s="173"/>
      <c r="R59" s="173"/>
      <c r="S59" s="173"/>
      <c r="T59"/>
      <c r="U59"/>
      <c r="V59"/>
      <c r="W59"/>
    </row>
    <row r="60" spans="1:23" s="172" customFormat="1">
      <c r="A60" s="165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M60" s="170"/>
      <c r="O60" s="173"/>
      <c r="P60" s="173"/>
      <c r="Q60" s="173"/>
      <c r="R60" s="173"/>
      <c r="S60" s="173"/>
      <c r="T60"/>
      <c r="U60"/>
      <c r="V60"/>
      <c r="W60"/>
    </row>
  </sheetData>
  <mergeCells count="44">
    <mergeCell ref="A2:B3"/>
    <mergeCell ref="C2:Q3"/>
    <mergeCell ref="A5:D7"/>
    <mergeCell ref="Q5:S5"/>
    <mergeCell ref="Q6:S6"/>
    <mergeCell ref="Q7:S7"/>
    <mergeCell ref="S2:S3"/>
    <mergeCell ref="A8:D8"/>
    <mergeCell ref="F8:N8"/>
    <mergeCell ref="O8:S8"/>
    <mergeCell ref="B9:C9"/>
    <mergeCell ref="B12:C12"/>
    <mergeCell ref="B10:C10"/>
    <mergeCell ref="B11:C11"/>
    <mergeCell ref="B13:C13"/>
    <mergeCell ref="B14:C14"/>
    <mergeCell ref="B15:C15"/>
    <mergeCell ref="B18:C18"/>
    <mergeCell ref="B17:C17"/>
    <mergeCell ref="B16:C16"/>
    <mergeCell ref="B30:C30"/>
    <mergeCell ref="B19:C19"/>
    <mergeCell ref="B22:C22"/>
    <mergeCell ref="B23:C23"/>
    <mergeCell ref="B24:C24"/>
    <mergeCell ref="B20:C20"/>
    <mergeCell ref="B21:C21"/>
    <mergeCell ref="B25:C25"/>
    <mergeCell ref="B26:C26"/>
    <mergeCell ref="B27:C27"/>
    <mergeCell ref="B28:N28"/>
    <mergeCell ref="B29:N29"/>
    <mergeCell ref="P41:R41"/>
    <mergeCell ref="B48:K60"/>
    <mergeCell ref="B31:C31"/>
    <mergeCell ref="B32:C32"/>
    <mergeCell ref="J32:M32"/>
    <mergeCell ref="B33:C33"/>
    <mergeCell ref="K35:N35"/>
    <mergeCell ref="I39:N39"/>
    <mergeCell ref="B41:C41"/>
    <mergeCell ref="E41:G41"/>
    <mergeCell ref="I41:N41"/>
    <mergeCell ref="O37:S37"/>
  </mergeCells>
  <conditionalFormatting sqref="H10">
    <cfRule type="containsErrors" dxfId="4" priority="5">
      <formula>ISERROR(H10)</formula>
    </cfRule>
  </conditionalFormatting>
  <conditionalFormatting sqref="H11:H27">
    <cfRule type="containsErrors" dxfId="3" priority="4">
      <formula>ISERROR(H11)</formula>
    </cfRule>
  </conditionalFormatting>
  <conditionalFormatting sqref="J10:J27">
    <cfRule type="containsErrors" dxfId="2" priority="3">
      <formula>ISERROR(J10)</formula>
    </cfRule>
  </conditionalFormatting>
  <conditionalFormatting sqref="N10 L10">
    <cfRule type="containsErrors" dxfId="1" priority="2">
      <formula>ISERROR(L10)</formula>
    </cfRule>
  </conditionalFormatting>
  <conditionalFormatting sqref="N11:N27 L11:L27">
    <cfRule type="containsErrors" dxfId="0" priority="1">
      <formula>ISERROR(L11)</formula>
    </cfRule>
  </conditionalFormatting>
  <printOptions horizontalCentered="1"/>
  <pageMargins left="0.39370078740157483" right="0.51181102362204722" top="0.59055118110236227" bottom="0" header="0" footer="0.31496062992125984"/>
  <pageSetup paperSize="9"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1ª Medição</vt:lpstr>
      <vt:lpstr>'1ª Medição'!Area_de_impressao</vt:lpstr>
    </vt:vector>
  </TitlesOfParts>
  <Company>Allianz Parque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Ercilia Santoro de Bruyn</dc:creator>
  <cp:lastModifiedBy>Ercilia de Santoro Bruyn</cp:lastModifiedBy>
  <cp:lastPrinted>2019-01-15T11:34:34Z</cp:lastPrinted>
  <dcterms:created xsi:type="dcterms:W3CDTF">2018-12-12T17:13:27Z</dcterms:created>
  <dcterms:modified xsi:type="dcterms:W3CDTF">2020-10-23T13:38:27Z</dcterms:modified>
</cp:coreProperties>
</file>